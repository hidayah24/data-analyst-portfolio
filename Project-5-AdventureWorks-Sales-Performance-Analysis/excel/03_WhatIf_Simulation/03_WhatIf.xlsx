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WhatIf" sheetId="1" state="visible" r:id="rId3"/>
    <sheet name="WhatIf_Baseline" sheetId="2" state="visible" r:id="rId4"/>
    <sheet name="WhatIf_Input" sheetId="3" state="visible" r:id="rId5"/>
    <sheet name="WhatIf_Calculation" sheetId="4" state="visible" r:id="rId6"/>
    <sheet name="WhatIf_Viz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<sst xmlns="http://schemas.openxmlformats.org/spreadsheetml/2006/main" count="104" uniqueCount="92">
  <si>
    <t xml:space="preserve">What-If Simulation: Profit Recovery 2023</t>
  </si>
  <si>
    <t xml:space="preserve">Asumsi Dasar:</t>
  </si>
  <si>
    <t xml:space="preserve">1. Bikes margin improvement: 1%, 5%, 10%</t>
  </si>
  <si>
    <t xml:space="preserve">2. Pacific returns reduction: 10%, 20%, 30%</t>
  </si>
  <si>
    <t xml:space="preserve">3. Non-Bikes volume growth: 10% (konservatif)</t>
  </si>
  <si>
    <t xml:space="preserve">Hasil Simulasi:</t>
  </si>
  <si>
    <t xml:space="preserve">Skenario</t>
  </si>
  <si>
    <t xml:space="preserve">Margin Bikes</t>
  </si>
  <si>
    <t xml:space="preserve">Returns Pacific</t>
  </si>
  <si>
    <t xml:space="preserve">Profit 2023</t>
  </si>
  <si>
    <t xml:space="preserve">VS 2022</t>
  </si>
  <si>
    <t xml:space="preserve">VS 2021</t>
  </si>
  <si>
    <t xml:space="preserve">Skenario 1</t>
  </si>
  <si>
    <t xml:space="preserve">+1%</t>
  </si>
  <si>
    <t xml:space="preserve">-10%</t>
  </si>
  <si>
    <t xml:space="preserve">✅ Kembali ke 2021</t>
  </si>
  <si>
    <t xml:space="preserve">Skenario 2</t>
  </si>
  <si>
    <t xml:space="preserve">+5%</t>
  </si>
  <si>
    <t xml:space="preserve">-20%</t>
  </si>
  <si>
    <t xml:space="preserve">+4.4% di atas 2021</t>
  </si>
  <si>
    <t xml:space="preserve">Skenario 3</t>
  </si>
  <si>
    <t xml:space="preserve">+10%</t>
  </si>
  <si>
    <t xml:space="preserve">-30%</t>
  </si>
  <si>
    <t xml:space="preserve">+9.9% di atas 2021</t>
  </si>
  <si>
    <t xml:space="preserve">Insight Utama:</t>
  </si>
  <si>
    <r>
      <rPr>
        <sz val="10"/>
        <rFont val="Arial"/>
        <family val="2"/>
        <charset val="1"/>
      </rPr>
      <t xml:space="preserve">1. </t>
    </r>
    <r>
      <rPr>
        <b val="true"/>
        <sz val="10"/>
        <rFont val="Arial"/>
        <family val="2"/>
        <charset val="1"/>
      </rPr>
      <t xml:space="preserve">Skenario 1 sudah cukup</t>
    </r>
    <r>
      <rPr>
        <sz val="10"/>
        <rFont val="Arial"/>
        <family val="2"/>
        <charset val="1"/>
      </rPr>
      <t xml:space="preserve"> untuk mengembalikan profit ke level 2021.</t>
    </r>
  </si>
  <si>
    <t xml:space="preserve">- Hanya butuh margin Bikes naik 1% + returns Pacific turun 10%.</t>
  </si>
  <si>
    <t xml:space="preserve">- Sangat realistis dalam 1 tahun.</t>
  </si>
  <si>
    <r>
      <rPr>
        <sz val="10"/>
        <rFont val="Arial"/>
        <family val="2"/>
        <charset val="1"/>
      </rPr>
      <t xml:space="preserve">2. </t>
    </r>
    <r>
      <rPr>
        <b val="true"/>
        <sz val="10"/>
        <rFont val="Arial"/>
        <family val="2"/>
        <charset val="1"/>
      </rPr>
      <t xml:space="preserve">Skenario 2 (paling direkomendasikan)</t>
    </r>
    <r>
      <rPr>
        <sz val="10"/>
        <rFont val="Arial"/>
        <family val="2"/>
        <charset val="1"/>
      </rPr>
      <t xml:space="preserve">:</t>
    </r>
  </si>
  <si>
    <t xml:space="preserve">- Margin +5% (target achievable dengan audit Road-250).</t>
  </si>
  <si>
    <t xml:space="preserve">- Returns -20% (quality control Pacific).</t>
  </si>
  <si>
    <t xml:space="preserve">- Profit naik 6.72% → 3,854,486.</t>
  </si>
  <si>
    <r>
      <rPr>
        <sz val="10"/>
        <rFont val="Arial"/>
        <family val="2"/>
        <charset val="1"/>
      </rPr>
      <t xml:space="preserve">3. </t>
    </r>
    <r>
      <rPr>
        <b val="true"/>
        <sz val="10"/>
        <rFont val="Arial"/>
        <family val="2"/>
        <charset val="1"/>
      </rPr>
      <t xml:space="preserve">Skenario 3 terlalu agresif</t>
    </r>
    <r>
      <rPr>
        <sz val="10"/>
        <rFont val="Arial"/>
        <family val="2"/>
        <charset val="1"/>
      </rPr>
      <t xml:space="preserve"> (butuh margin +10% + returns -30%).</t>
    </r>
  </si>
  <si>
    <t xml:space="preserve">Rekomendasi Final:</t>
  </si>
  <si>
    <r>
      <rPr>
        <sz val="10"/>
        <rFont val="Arial"/>
        <family val="2"/>
        <charset val="1"/>
      </rPr>
      <t xml:space="preserve">1. </t>
    </r>
    <r>
      <rPr>
        <b val="true"/>
        <sz val="10"/>
        <rFont val="Arial"/>
        <family val="2"/>
        <charset val="1"/>
      </rPr>
      <t xml:space="preserve">Short-term (Q1-Q2)</t>
    </r>
    <r>
      <rPr>
        <sz val="10"/>
        <rFont val="Arial"/>
        <family val="2"/>
        <charset val="1"/>
      </rPr>
      <t xml:space="preserve">: Fokus pada </t>
    </r>
    <r>
      <rPr>
        <b val="true"/>
        <sz val="10"/>
        <rFont val="Arial"/>
        <family val="2"/>
        <charset val="1"/>
      </rPr>
      <t xml:space="preserve">Road-250</t>
    </r>
    <r>
      <rPr>
        <sz val="10"/>
        <rFont val="Arial"/>
        <family val="2"/>
        <charset val="1"/>
      </rPr>
      <t xml:space="preserve"> (penyebab utama). Target margin +5%.</t>
    </r>
  </si>
  <si>
    <r>
      <rPr>
        <sz val="10"/>
        <rFont val="Arial"/>
        <family val="2"/>
        <charset val="1"/>
      </rPr>
      <t xml:space="preserve">2. </t>
    </r>
    <r>
      <rPr>
        <b val="true"/>
        <sz val="10"/>
        <rFont val="Arial"/>
        <family val="2"/>
        <charset val="1"/>
      </rPr>
      <t xml:space="preserve">Medium-term (Q3-Q4)</t>
    </r>
    <r>
      <rPr>
        <sz val="10"/>
        <rFont val="Arial"/>
        <family val="2"/>
        <charset val="1"/>
      </rPr>
      <t xml:space="preserve">: Kurangi returns Pacific 20% via quality control.</t>
    </r>
  </si>
  <si>
    <r>
      <rPr>
        <sz val="10"/>
        <rFont val="Arial"/>
        <family val="2"/>
        <charset val="1"/>
      </rPr>
      <t xml:space="preserve">3. </t>
    </r>
    <r>
      <rPr>
        <b val="true"/>
        <sz val="10"/>
        <rFont val="Arial"/>
        <family val="2"/>
        <charset val="1"/>
      </rPr>
      <t xml:space="preserve">Target 2023</t>
    </r>
    <r>
      <rPr>
        <sz val="10"/>
        <rFont val="Arial"/>
        <family val="2"/>
        <charset val="1"/>
      </rPr>
      <t xml:space="preserve">: Profit minimal </t>
    </r>
    <r>
      <rPr>
        <b val="true"/>
        <sz val="10"/>
        <rFont val="Arial"/>
        <family val="2"/>
        <charset val="1"/>
      </rPr>
      <t xml:space="preserve">3.69 juta</t>
    </r>
    <r>
      <rPr>
        <sz val="10"/>
        <rFont val="Arial"/>
        <family val="2"/>
        <charset val="1"/>
      </rPr>
      <t xml:space="preserve"> (kembali ke 2021), optimis </t>
    </r>
    <r>
      <rPr>
        <b val="true"/>
        <sz val="10"/>
        <rFont val="Arial"/>
        <family val="2"/>
        <charset val="1"/>
      </rPr>
      <t xml:space="preserve">3.85 juta</t>
    </r>
    <r>
      <rPr>
        <sz val="10"/>
        <rFont val="Arial"/>
        <family val="2"/>
        <charset val="1"/>
      </rPr>
      <t xml:space="preserve"> (+6.7%).</t>
    </r>
  </si>
  <si>
    <r>
      <rPr>
        <sz val="10"/>
        <rFont val="Arial"/>
        <family val="2"/>
        <charset val="1"/>
      </rPr>
      <t xml:space="preserve">4. </t>
    </r>
    <r>
      <rPr>
        <b val="true"/>
        <sz val="10"/>
        <rFont val="Arial"/>
        <family val="2"/>
        <charset val="1"/>
      </rPr>
      <t xml:space="preserve">Catatan</t>
    </r>
    <r>
      <rPr>
        <sz val="10"/>
        <rFont val="Arial"/>
        <family val="2"/>
        <charset val="1"/>
      </rPr>
      <t xml:space="preserve">: Tidak perlu perubahan besar. Perbaikan kecil sudah berdampak signifikan.</t>
    </r>
  </si>
  <si>
    <t xml:space="preserve">Item</t>
  </si>
  <si>
    <t xml:space="preserve">Value</t>
  </si>
  <si>
    <t xml:space="preserve">Source</t>
  </si>
  <si>
    <t xml:space="preserve">Total Profit 2022</t>
  </si>
  <si>
    <t xml:space="preserve">overall_metrics.csv</t>
  </si>
  <si>
    <t xml:space="preserve">Bikes Profit 2022</t>
  </si>
  <si>
    <t xml:space="preserve">top_drivers_dec.csv (Bikes 2022)</t>
  </si>
  <si>
    <t xml:space="preserve">Bikes Profit 2021</t>
  </si>
  <si>
    <t xml:space="preserve">top_drivers_dec.csv (Bikes 2021)</t>
  </si>
  <si>
    <t xml:space="preserve">Road-250 Profit 2022</t>
  </si>
  <si>
    <t xml:space="preserve">201,446 + 54,235 (02_bikes_model_and_colour.xlsx)</t>
  </si>
  <si>
    <t xml:space="preserve">Road-250 Profit 2021</t>
  </si>
  <si>
    <t xml:space="preserve">492,423 + 290,100 (02_bikes_model_and_colour.xlsx)</t>
  </si>
  <si>
    <t xml:space="preserve">Mountain-200 Profit 2022</t>
  </si>
  <si>
    <t xml:space="preserve">682,941 + 683,705</t>
  </si>
  <si>
    <t xml:space="preserve">Mountain-200 Profit 2021</t>
  </si>
  <si>
    <t xml:space="preserve">798,965 + 771,433</t>
  </si>
  <si>
    <t xml:space="preserve">Pacific Returns Value 2022</t>
  </si>
  <si>
    <t xml:space="preserve">Pacific Sales Qty 2022</t>
  </si>
  <si>
    <t xml:space="preserve">dec_by_territory.csv</t>
  </si>
  <si>
    <t xml:space="preserve">Pacific Returns Qty 2022</t>
  </si>
  <si>
    <t xml:space="preserve">Volume Growth 2022</t>
  </si>
  <si>
    <t xml:space="preserve">Variable</t>
  </si>
  <si>
    <t xml:space="preserve">Current</t>
  </si>
  <si>
    <t xml:space="preserve">Scenario 1</t>
  </si>
  <si>
    <t xml:space="preserve">Scenario 2</t>
  </si>
  <si>
    <t xml:space="preserve">Scenario 3</t>
  </si>
  <si>
    <t xml:space="preserve">Bikes Margin Improvement</t>
  </si>
  <si>
    <t xml:space="preserve">Pacific Returns Reduction</t>
  </si>
  <si>
    <t xml:space="preserve">Volume Growth 2023</t>
  </si>
  <si>
    <t xml:space="preserve">25% (actual 2022)</t>
  </si>
  <si>
    <t xml:space="preserve">Component</t>
  </si>
  <si>
    <t xml:space="preserve">Bikes Impact</t>
  </si>
  <si>
    <t xml:space="preserve">Bikes Current Profit</t>
  </si>
  <si>
    <t xml:space="preserve">Margin Improvement %</t>
  </si>
  <si>
    <t xml:space="preserve">Bikes New Profit</t>
  </si>
  <si>
    <t xml:space="preserve">Bikes Profit Gain</t>
  </si>
  <si>
    <t xml:space="preserve">Pacific Returns Impact</t>
  </si>
  <si>
    <t xml:space="preserve">Pacific Returns Current</t>
  </si>
  <si>
    <t xml:space="preserve">Returns Reduction %</t>
  </si>
  <si>
    <t xml:space="preserve">Pacific Returns New</t>
  </si>
  <si>
    <t xml:space="preserve">Returns Savings</t>
  </si>
  <si>
    <t xml:space="preserve">Volume Impact</t>
  </si>
  <si>
    <t xml:space="preserve">Current Profit (Non-Bikes)</t>
  </si>
  <si>
    <t xml:space="preserve">Volume Growth %</t>
  </si>
  <si>
    <t xml:space="preserve">New Profit from volume</t>
  </si>
  <si>
    <t xml:space="preserve">Volume Gain</t>
  </si>
  <si>
    <t xml:space="preserve">TOTAL PROFIT 2023</t>
  </si>
  <si>
    <t xml:space="preserve">Non-Bikes New Profit</t>
  </si>
  <si>
    <t xml:space="preserve">Pacific Returns Savings</t>
  </si>
  <si>
    <t xml:space="preserve">Total Profit 2023</t>
  </si>
  <si>
    <t xml:space="preserve">Improvement vs 2022</t>
  </si>
  <si>
    <t xml:space="preserve">Improvement %</t>
  </si>
  <si>
    <t xml:space="preserve">Profit 2022 (Baseline)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</si>
</sst>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0.00%"/>
    <numFmt numFmtId="168" formatCode="0"/>
    <numFmt numFmtId="169" formatCode="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</font>
    <font>
      <b val="true"/>
      <sz val="12"/>
      <name val="Arial"/>
      <family val="2"/>
      <charset val="1"/>
    </font>
    <font>
      <b val="true"/>
      <sz val="14"/>
      <name val="Arial"/>
      <family val="2"/>
    </font>
    <font>
      <b val="true"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uFillTx/>
                <a:latin typeface="Arial"/>
              </a:rPr>
              <a:t>Profit Recovery 2023 – 3 Skenario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9900978286805"/>
          <c:y val="0.126909413854352"/>
          <c:w val="0.4794201861131"/>
          <c:h val="0.7419182948490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WhatIf_Viz!$A$2</c:f>
              <c:strCache>
                <c:ptCount val="1"/>
                <c:pt idx="0">
                  <c:v>Total Profit 2023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800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ff0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a93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WhatIf_Viz!$B$1:$D$1</c:f>
              <c:strCache>
                <c:ptCount val="3"/>
                <c:pt idx="0">
                  <c:v>Skenario 1</c:v>
                </c:pt>
                <c:pt idx="1">
                  <c:v>Skenario 2</c:v>
                </c:pt>
                <c:pt idx="2">
                  <c:v>Skenario 3</c:v>
                </c:pt>
              </c:strCache>
            </c:strRef>
          </c:cat>
          <c:val>
            <c:numRef>
              <c:f>WhatIf_Viz!$B$2:$D$2</c:f>
              <c:numCache>
                <c:formatCode>General</c:formatCode>
                <c:ptCount val="3"/>
                <c:pt idx="0">
                  <c:v>3690735</c:v>
                </c:pt>
                <c:pt idx="1">
                  <c:v>3854486.3</c:v>
                </c:pt>
                <c:pt idx="2">
                  <c:v>4056093.2</c:v>
                </c:pt>
              </c:numCache>
            </c:numRef>
          </c:val>
        </c:ser>
        <c:gapWidth val="100"/>
        <c:overlap val="0"/>
        <c:axId val="73944381"/>
        <c:axId val="24552368"/>
      </c:barChart>
      <c:lineChart>
        <c:grouping val="standard"/>
        <c:varyColors val="0"/>
        <c:ser>
          <c:idx val="1"/>
          <c:order val="1"/>
          <c:tx>
            <c:strRef>
              <c:f>WhatIf_Viz!$A$3</c:f>
              <c:strCache>
                <c:ptCount val="1"/>
                <c:pt idx="0">
                  <c:v>Profit 2022 (Baseline)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WhatIf_Viz!$B$1:$D$1</c:f>
              <c:strCache>
                <c:ptCount val="3"/>
                <c:pt idx="0">
                  <c:v>Skenario 1</c:v>
                </c:pt>
                <c:pt idx="1">
                  <c:v>Skenario 2</c:v>
                </c:pt>
                <c:pt idx="2">
                  <c:v>Skenario 3</c:v>
                </c:pt>
              </c:strCache>
            </c:strRef>
          </c:cat>
          <c:val>
            <c:numRef>
              <c:f>WhatIf_Viz!$B$3:$D$3</c:f>
              <c:numCache>
                <c:formatCode>0.00</c:formatCode>
                <c:ptCount val="3"/>
                <c:pt idx="0">
                  <c:v>3611731</c:v>
                </c:pt>
                <c:pt idx="1">
                  <c:v>3611731</c:v>
                </c:pt>
                <c:pt idx="2">
                  <c:v>3611731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944381"/>
        <c:axId val="24552368"/>
      </c:lineChart>
      <c:catAx>
        <c:axId val="739443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552368"/>
        <c:crosses val="autoZero"/>
        <c:auto val="1"/>
        <c:lblAlgn val="ctr"/>
        <c:lblOffset val="100"/>
        <c:noMultiLvlLbl val="0"/>
      </c:catAx>
      <c:valAx>
        <c:axId val="245523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uFillTx/>
                    <a:latin typeface="Arial"/>
                  </a:rPr>
                  <a:t>Total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9443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141840</xdr:colOff>
      <xdr:row>1</xdr:row>
      <xdr:rowOff>77040</xdr:rowOff>
    </xdr:from>
    <xdr:to>
      <xdr:col>11</xdr:col>
      <xdr:colOff>487440</xdr:colOff>
      <xdr:row>26</xdr:row>
      <xdr:rowOff>66600</xdr:rowOff>
    </xdr:to>
    <xdr:graphicFrame>
      <xdr:nvGraphicFramePr>
        <xdr:cNvPr id="1" name=""/>
        <xdr:cNvGraphicFramePr/>
      </xdr:nvGraphicFramePr>
      <xdr:xfrm>
        <a:off x="4193280" y="267480"/>
        <a:ext cx="6035040" cy="405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0.42"/>
    <col collapsed="false" customWidth="true" hidden="false" outlineLevel="0" max="2" min="2" style="0" width="10.48"/>
    <col collapsed="false" customWidth="true" hidden="false" outlineLevel="0" max="3" min="3" style="1" width="14.51"/>
    <col collapsed="false" customWidth="true" hidden="false" outlineLevel="0" max="4" min="4" style="1" width="16.59"/>
    <col collapsed="false" customWidth="true" hidden="false" outlineLevel="0" max="5" min="5" style="2" width="12.28"/>
    <col collapsed="false" customWidth="true" hidden="false" outlineLevel="0" max="6" min="6" style="0" width="10.2"/>
    <col collapsed="false" customWidth="true" hidden="false" outlineLevel="0" max="7" min="7" style="1" width="17.29"/>
  </cols>
  <sheetData>
    <row r="1" customFormat="false" ht="18.55" hidden="false" customHeight="false" outlineLevel="0" collapsed="false">
      <c r="A1" s="3" t="s">
        <v>0</v>
      </c>
    </row>
    <row r="3" customFormat="false" ht="12.8" hidden="false" customHeight="false" outlineLevel="0" collapsed="false">
      <c r="A3" s="4" t="s">
        <v>1</v>
      </c>
    </row>
    <row r="4" customFormat="false" ht="12.8" hidden="false" customHeight="false" outlineLevel="0" collapsed="false">
      <c r="A4" s="5" t="s">
        <v>2</v>
      </c>
    </row>
    <row r="5" customFormat="false" ht="12.8" hidden="false" customHeight="false" outlineLevel="0" collapsed="false">
      <c r="A5" s="5" t="s">
        <v>3</v>
      </c>
    </row>
    <row r="6" customFormat="false" ht="12.8" hidden="false" customHeight="false" outlineLevel="0" collapsed="false">
      <c r="A6" s="6" t="s">
        <v>4</v>
      </c>
    </row>
    <row r="8" customFormat="false" ht="13.8" hidden="false" customHeight="false" outlineLevel="0" collapsed="false">
      <c r="A8" s="7" t="s">
        <v>5</v>
      </c>
      <c r="B8" s="8" t="s">
        <v>6</v>
      </c>
      <c r="C8" s="9" t="s">
        <v>7</v>
      </c>
      <c r="D8" s="9" t="s">
        <v>8</v>
      </c>
      <c r="E8" s="10" t="s">
        <v>9</v>
      </c>
      <c r="F8" s="8" t="s">
        <v>10</v>
      </c>
      <c r="G8" s="9" t="s">
        <v>11</v>
      </c>
    </row>
    <row r="9" customFormat="false" ht="12.8" hidden="false" customHeight="false" outlineLevel="0" collapsed="false">
      <c r="B9" s="5" t="s">
        <v>12</v>
      </c>
      <c r="C9" s="11" t="s">
        <v>13</v>
      </c>
      <c r="D9" s="11" t="s">
        <v>14</v>
      </c>
      <c r="E9" s="12" t="n">
        <f aca="false">WhatIf_Calculation!B21</f>
        <v>3690735</v>
      </c>
      <c r="F9" s="13" t="n">
        <f aca="false">WhatIf_Calculation!B23</f>
        <v>0.0218742757973948</v>
      </c>
      <c r="G9" s="11" t="s">
        <v>15</v>
      </c>
    </row>
    <row r="10" customFormat="false" ht="12.8" hidden="false" customHeight="false" outlineLevel="0" collapsed="false">
      <c r="B10" s="5" t="s">
        <v>16</v>
      </c>
      <c r="C10" s="11" t="s">
        <v>17</v>
      </c>
      <c r="D10" s="11" t="s">
        <v>18</v>
      </c>
      <c r="E10" s="14" t="n">
        <f aca="false">WhatIf_Calculation!C21</f>
        <v>3854486.3</v>
      </c>
      <c r="F10" s="13" t="n">
        <f aca="false">WhatIf_Calculation!C23</f>
        <v>0.0672130067272453</v>
      </c>
      <c r="G10" s="11" t="s">
        <v>19</v>
      </c>
    </row>
    <row r="11" customFormat="false" ht="12.8" hidden="false" customHeight="false" outlineLevel="0" collapsed="false">
      <c r="B11" s="6" t="s">
        <v>20</v>
      </c>
      <c r="C11" s="15" t="s">
        <v>21</v>
      </c>
      <c r="D11" s="15" t="s">
        <v>22</v>
      </c>
      <c r="E11" s="16" t="n">
        <f aca="false">WhatIf_Calculation!D21</f>
        <v>4056093.2</v>
      </c>
      <c r="F11" s="17" t="n">
        <f aca="false">WhatIf_Calculation!D23</f>
        <v>0.123033027653499</v>
      </c>
      <c r="G11" s="15" t="s">
        <v>23</v>
      </c>
    </row>
    <row r="13" customFormat="false" ht="12.8" hidden="false" customHeight="false" outlineLevel="0" collapsed="false">
      <c r="A13" s="4" t="s">
        <v>24</v>
      </c>
    </row>
    <row r="14" customFormat="false" ht="12.8" hidden="false" customHeight="false" outlineLevel="0" collapsed="false">
      <c r="A14" s="18" t="s">
        <v>25</v>
      </c>
    </row>
    <row r="15" customFormat="false" ht="12.8" hidden="false" customHeight="false" outlineLevel="0" collapsed="false">
      <c r="A15" s="5" t="s">
        <v>26</v>
      </c>
    </row>
    <row r="16" customFormat="false" ht="12.8" hidden="false" customHeight="false" outlineLevel="0" collapsed="false">
      <c r="A16" s="6" t="s">
        <v>27</v>
      </c>
    </row>
    <row r="17" customFormat="false" ht="12.8" hidden="false" customHeight="false" outlineLevel="0" collapsed="false">
      <c r="A17" s="19" t="s">
        <v>28</v>
      </c>
    </row>
    <row r="18" customFormat="false" ht="12.8" hidden="false" customHeight="false" outlineLevel="0" collapsed="false">
      <c r="A18" s="5" t="s">
        <v>29</v>
      </c>
    </row>
    <row r="19" customFormat="false" ht="12.8" hidden="false" customHeight="false" outlineLevel="0" collapsed="false">
      <c r="A19" s="5" t="s">
        <v>30</v>
      </c>
    </row>
    <row r="20" customFormat="false" ht="12.8" hidden="false" customHeight="false" outlineLevel="0" collapsed="false">
      <c r="A20" s="6" t="s">
        <v>31</v>
      </c>
    </row>
    <row r="21" customFormat="false" ht="12.8" hidden="false" customHeight="false" outlineLevel="0" collapsed="false">
      <c r="A21" s="4" t="s">
        <v>32</v>
      </c>
    </row>
    <row r="23" customFormat="false" ht="12.8" hidden="false" customHeight="false" outlineLevel="0" collapsed="false">
      <c r="A23" s="4" t="s">
        <v>33</v>
      </c>
    </row>
    <row r="24" customFormat="false" ht="23.85" hidden="false" customHeight="false" outlineLevel="0" collapsed="false">
      <c r="A24" s="20" t="s">
        <v>34</v>
      </c>
    </row>
    <row r="25" customFormat="false" ht="12.8" hidden="false" customHeight="false" outlineLevel="0" collapsed="false">
      <c r="A25" s="5" t="s">
        <v>35</v>
      </c>
    </row>
    <row r="26" customFormat="false" ht="23.85" hidden="false" customHeight="false" outlineLevel="0" collapsed="false">
      <c r="A26" s="20" t="s">
        <v>36</v>
      </c>
    </row>
    <row r="27" customFormat="false" ht="23.85" hidden="false" customHeight="false" outlineLevel="0" collapsed="false">
      <c r="A27" s="2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2" width="23.55"/>
    <col collapsed="false" customWidth="false" hidden="false" outlineLevel="0" max="2" min="2" style="23" width="11.53"/>
    <col collapsed="false" customWidth="true" hidden="false" outlineLevel="0" max="3" min="3" style="22" width="44.98"/>
  </cols>
  <sheetData>
    <row r="1" customFormat="false" ht="15" hidden="false" customHeight="false" outlineLevel="0" collapsed="false">
      <c r="A1" s="24" t="s">
        <v>38</v>
      </c>
      <c r="B1" s="25" t="s">
        <v>39</v>
      </c>
      <c r="C1" s="24" t="s">
        <v>40</v>
      </c>
    </row>
    <row r="2" customFormat="false" ht="12.8" hidden="false" customHeight="false" outlineLevel="0" collapsed="false">
      <c r="A2" s="26" t="s">
        <v>41</v>
      </c>
      <c r="B2" s="27" t="n">
        <v>3611731</v>
      </c>
      <c r="C2" s="26" t="s">
        <v>42</v>
      </c>
    </row>
    <row r="3" customFormat="false" ht="12.8" hidden="false" customHeight="false" outlineLevel="0" collapsed="false">
      <c r="A3" s="26" t="s">
        <v>43</v>
      </c>
      <c r="B3" s="27" t="n">
        <v>3477544</v>
      </c>
      <c r="C3" s="26" t="s">
        <v>44</v>
      </c>
    </row>
    <row r="4" customFormat="false" ht="12.8" hidden="false" customHeight="false" outlineLevel="0" collapsed="false">
      <c r="A4" s="26" t="s">
        <v>45</v>
      </c>
      <c r="B4" s="27" t="n">
        <v>3647021</v>
      </c>
      <c r="C4" s="26" t="s">
        <v>46</v>
      </c>
    </row>
    <row r="5" customFormat="false" ht="12.8" hidden="false" customHeight="false" outlineLevel="0" collapsed="false">
      <c r="A5" s="26" t="s">
        <v>47</v>
      </c>
      <c r="B5" s="27" t="n">
        <v>255681</v>
      </c>
      <c r="C5" s="26" t="s">
        <v>48</v>
      </c>
    </row>
    <row r="6" customFormat="false" ht="12.8" hidden="false" customHeight="false" outlineLevel="0" collapsed="false">
      <c r="A6" s="26" t="s">
        <v>49</v>
      </c>
      <c r="B6" s="27" t="n">
        <v>782523</v>
      </c>
      <c r="C6" s="26" t="s">
        <v>50</v>
      </c>
    </row>
    <row r="7" customFormat="false" ht="12.8" hidden="false" customHeight="false" outlineLevel="0" collapsed="false">
      <c r="A7" s="26" t="s">
        <v>51</v>
      </c>
      <c r="B7" s="27" t="n">
        <v>1366646</v>
      </c>
      <c r="C7" s="26" t="s">
        <v>52</v>
      </c>
    </row>
    <row r="8" customFormat="false" ht="12.8" hidden="false" customHeight="false" outlineLevel="0" collapsed="false">
      <c r="A8" s="26" t="s">
        <v>53</v>
      </c>
      <c r="B8" s="27" t="n">
        <v>1570398</v>
      </c>
      <c r="C8" s="26" t="s">
        <v>54</v>
      </c>
    </row>
    <row r="9" customFormat="false" ht="12.8" hidden="false" customHeight="false" outlineLevel="0" collapsed="false">
      <c r="A9" s="26" t="s">
        <v>55</v>
      </c>
      <c r="B9" s="27" t="n">
        <v>277297</v>
      </c>
      <c r="C9" s="26" t="s">
        <v>42</v>
      </c>
    </row>
    <row r="10" customFormat="false" ht="12.8" hidden="false" customHeight="false" outlineLevel="0" collapsed="false">
      <c r="A10" s="26" t="s">
        <v>56</v>
      </c>
      <c r="B10" s="27" t="n">
        <v>1944835</v>
      </c>
      <c r="C10" s="26" t="s">
        <v>57</v>
      </c>
    </row>
    <row r="11" customFormat="false" ht="12.8" hidden="false" customHeight="false" outlineLevel="0" collapsed="false">
      <c r="A11" s="26" t="s">
        <v>58</v>
      </c>
      <c r="B11" s="28" t="n">
        <v>972</v>
      </c>
      <c r="C11" s="26" t="s">
        <v>42</v>
      </c>
    </row>
    <row r="12" customFormat="false" ht="12.8" hidden="false" customHeight="false" outlineLevel="0" collapsed="false">
      <c r="A12" s="29" t="s">
        <v>59</v>
      </c>
      <c r="B12" s="30" t="n">
        <v>0.25</v>
      </c>
      <c r="C12" s="29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2" width="23.27"/>
    <col collapsed="false" customWidth="true" hidden="false" outlineLevel="0" max="2" min="2" style="22" width="16.18"/>
    <col collapsed="false" customWidth="true" hidden="false" outlineLevel="0" max="5" min="3" style="22" width="11.85"/>
  </cols>
  <sheetData>
    <row r="1" customFormat="false" ht="13.8" hidden="false" customHeight="false" outlineLevel="0" collapsed="false">
      <c r="A1" s="31" t="s">
        <v>60</v>
      </c>
      <c r="B1" s="31" t="s">
        <v>61</v>
      </c>
      <c r="C1" s="31" t="s">
        <v>62</v>
      </c>
      <c r="D1" s="31" t="s">
        <v>63</v>
      </c>
      <c r="E1" s="31" t="s">
        <v>64</v>
      </c>
    </row>
    <row r="2" customFormat="false" ht="12.8" hidden="false" customHeight="false" outlineLevel="0" collapsed="false">
      <c r="A2" s="26" t="s">
        <v>65</v>
      </c>
      <c r="B2" s="32" t="n">
        <v>0</v>
      </c>
      <c r="C2" s="32" t="n">
        <v>0.02</v>
      </c>
      <c r="D2" s="32" t="n">
        <v>0.05</v>
      </c>
      <c r="E2" s="32" t="n">
        <v>0.1</v>
      </c>
    </row>
    <row r="3" customFormat="false" ht="12.8" hidden="false" customHeight="false" outlineLevel="0" collapsed="false">
      <c r="A3" s="26" t="s">
        <v>66</v>
      </c>
      <c r="B3" s="32" t="n">
        <v>0</v>
      </c>
      <c r="C3" s="32" t="n">
        <v>-0.1</v>
      </c>
      <c r="D3" s="32" t="n">
        <v>-0.2</v>
      </c>
      <c r="E3" s="32" t="n">
        <v>-0.3</v>
      </c>
    </row>
    <row r="4" customFormat="false" ht="12.8" hidden="false" customHeight="false" outlineLevel="0" collapsed="false">
      <c r="A4" s="29" t="s">
        <v>67</v>
      </c>
      <c r="B4" s="33" t="s">
        <v>68</v>
      </c>
      <c r="C4" s="30" t="n">
        <v>0.1</v>
      </c>
      <c r="D4" s="30" t="n">
        <v>0.1</v>
      </c>
      <c r="E4" s="30" t="n">
        <v>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2" width="22.3"/>
    <col collapsed="false" customWidth="true" hidden="false" outlineLevel="0" max="4" min="2" style="22" width="12.84"/>
  </cols>
  <sheetData>
    <row r="1" customFormat="false" ht="15" hidden="false" customHeight="false" outlineLevel="0" collapsed="false">
      <c r="A1" s="24" t="s">
        <v>69</v>
      </c>
      <c r="B1" s="24" t="s">
        <v>12</v>
      </c>
      <c r="C1" s="24" t="s">
        <v>16</v>
      </c>
      <c r="D1" s="24" t="s">
        <v>20</v>
      </c>
    </row>
    <row r="2" customFormat="false" ht="12.8" hidden="false" customHeight="false" outlineLevel="0" collapsed="false">
      <c r="A2" s="34" t="s">
        <v>70</v>
      </c>
      <c r="B2" s="34"/>
      <c r="C2" s="34"/>
      <c r="D2" s="34"/>
    </row>
    <row r="3" customFormat="false" ht="12.8" hidden="false" customHeight="false" outlineLevel="0" collapsed="false">
      <c r="A3" s="26" t="s">
        <v>71</v>
      </c>
      <c r="B3" s="35" t="n">
        <f aca="false">WhatIf_Baseline!$B$3</f>
        <v>3477544</v>
      </c>
      <c r="C3" s="35" t="n">
        <f aca="false">WhatIf_Baseline!$B$3</f>
        <v>3477544</v>
      </c>
      <c r="D3" s="35" t="n">
        <f aca="false">WhatIf_Baseline!$B$3</f>
        <v>3477544</v>
      </c>
    </row>
    <row r="4" customFormat="false" ht="12.8" hidden="false" customHeight="false" outlineLevel="0" collapsed="false">
      <c r="A4" s="26" t="s">
        <v>72</v>
      </c>
      <c r="B4" s="36" t="n">
        <v>0.0108857285486538</v>
      </c>
      <c r="C4" s="36" t="n">
        <v>0.05</v>
      </c>
      <c r="D4" s="36" t="n">
        <f aca="false">WhatIf_Input!E$2</f>
        <v>0.1</v>
      </c>
    </row>
    <row r="5" customFormat="false" ht="12.8" hidden="false" customHeight="false" outlineLevel="0" collapsed="false">
      <c r="A5" s="26" t="s">
        <v>73</v>
      </c>
      <c r="B5" s="26" t="n">
        <f aca="false">B3*(1+B4)</f>
        <v>3515399.6</v>
      </c>
      <c r="C5" s="26" t="n">
        <f aca="false">C3*(1+C4)</f>
        <v>3651421.2</v>
      </c>
      <c r="D5" s="26" t="n">
        <f aca="false">D3*(1+D4)</f>
        <v>3825298.4</v>
      </c>
    </row>
    <row r="6" customFormat="false" ht="12.8" hidden="false" customHeight="false" outlineLevel="0" collapsed="false">
      <c r="A6" s="29" t="s">
        <v>74</v>
      </c>
      <c r="B6" s="29" t="n">
        <f aca="false">B5-B3</f>
        <v>37855.6000000001</v>
      </c>
      <c r="C6" s="29" t="n">
        <f aca="false">C5-C3</f>
        <v>173877.2</v>
      </c>
      <c r="D6" s="29" t="n">
        <f aca="false">D5-D3</f>
        <v>347754.4</v>
      </c>
    </row>
    <row r="7" customFormat="false" ht="12.8" hidden="false" customHeight="false" outlineLevel="0" collapsed="false">
      <c r="A7" s="34" t="s">
        <v>75</v>
      </c>
      <c r="B7" s="34"/>
      <c r="C7" s="34"/>
      <c r="D7" s="34"/>
    </row>
    <row r="8" customFormat="false" ht="12.8" hidden="false" customHeight="false" outlineLevel="0" collapsed="false">
      <c r="A8" s="26" t="s">
        <v>76</v>
      </c>
      <c r="B8" s="37" t="n">
        <f aca="false">WhatIf_Baseline!$B$9</f>
        <v>277297</v>
      </c>
      <c r="C8" s="37" t="n">
        <f aca="false">WhatIf_Baseline!$B$9</f>
        <v>277297</v>
      </c>
      <c r="D8" s="35" t="n">
        <f aca="false">WhatIf_Baseline!$B$9</f>
        <v>277297</v>
      </c>
    </row>
    <row r="9" customFormat="false" ht="12.8" hidden="false" customHeight="false" outlineLevel="0" collapsed="false">
      <c r="A9" s="26" t="s">
        <v>77</v>
      </c>
      <c r="B9" s="38" t="n">
        <f aca="false">WhatIf_Input!C$3</f>
        <v>-0.1</v>
      </c>
      <c r="C9" s="32" t="n">
        <f aca="false">WhatIf_Input!D$3</f>
        <v>-0.2</v>
      </c>
      <c r="D9" s="32" t="n">
        <f aca="false">WhatIf_Input!E$3</f>
        <v>-0.3</v>
      </c>
    </row>
    <row r="10" customFormat="false" ht="12.8" hidden="false" customHeight="false" outlineLevel="0" collapsed="false">
      <c r="A10" s="26" t="s">
        <v>78</v>
      </c>
      <c r="B10" s="39" t="n">
        <f aca="false">B8*(1+B9)</f>
        <v>249567.3</v>
      </c>
      <c r="C10" s="39" t="n">
        <f aca="false">C8*(1+C9)</f>
        <v>221837.6</v>
      </c>
      <c r="D10" s="26" t="n">
        <f aca="false">D8*(1+D9)</f>
        <v>194107.9</v>
      </c>
    </row>
    <row r="11" customFormat="false" ht="12.8" hidden="false" customHeight="false" outlineLevel="0" collapsed="false">
      <c r="A11" s="29" t="s">
        <v>79</v>
      </c>
      <c r="B11" s="40" t="n">
        <f aca="false">B8-B10</f>
        <v>27729.7</v>
      </c>
      <c r="C11" s="40" t="n">
        <f aca="false">C8-C10</f>
        <v>55459.4</v>
      </c>
      <c r="D11" s="29" t="n">
        <f aca="false">D8-D10</f>
        <v>83189.1</v>
      </c>
    </row>
    <row r="12" customFormat="false" ht="12.8" hidden="false" customHeight="false" outlineLevel="0" collapsed="false">
      <c r="A12" s="34" t="s">
        <v>80</v>
      </c>
      <c r="B12" s="34" t="n">
        <f aca="false">B9-B11</f>
        <v>-27729.8</v>
      </c>
      <c r="C12" s="34"/>
      <c r="D12" s="34"/>
    </row>
    <row r="13" customFormat="false" ht="12.8" hidden="false" customHeight="false" outlineLevel="0" collapsed="false">
      <c r="A13" s="26" t="s">
        <v>81</v>
      </c>
      <c r="B13" s="22" t="n">
        <f aca="false">WhatIf_Baseline!$B$2-WhatIf_Baseline!$B$3</f>
        <v>134187</v>
      </c>
      <c r="C13" s="41" t="n">
        <f aca="false">WhatIf_Baseline!$B$2-WhatIf_Baseline!$B$3</f>
        <v>134187</v>
      </c>
      <c r="D13" s="42" t="n">
        <f aca="false">WhatIf_Baseline!$B$2-WhatIf_Baseline!$B$3</f>
        <v>134187</v>
      </c>
    </row>
    <row r="14" customFormat="false" ht="12.8" hidden="false" customHeight="false" outlineLevel="0" collapsed="false">
      <c r="A14" s="26" t="s">
        <v>82</v>
      </c>
      <c r="B14" s="43" t="n">
        <f aca="false">WhatIf_Input!C4</f>
        <v>0.1</v>
      </c>
      <c r="C14" s="38" t="n">
        <f aca="false">WhatIf_Input!D4</f>
        <v>0.1</v>
      </c>
      <c r="D14" s="32" t="n">
        <f aca="false">WhatIf_Input!E4</f>
        <v>0.1</v>
      </c>
    </row>
    <row r="15" customFormat="false" ht="12.8" hidden="false" customHeight="false" outlineLevel="0" collapsed="false">
      <c r="A15" s="26" t="s">
        <v>83</v>
      </c>
      <c r="B15" s="22" t="n">
        <f aca="false">B13*(1+B14)</f>
        <v>147605.7</v>
      </c>
      <c r="C15" s="41" t="n">
        <f aca="false">C13*(1+C14)</f>
        <v>147605.7</v>
      </c>
      <c r="D15" s="41" t="n">
        <f aca="false">D13*(1+D14)</f>
        <v>147605.7</v>
      </c>
    </row>
    <row r="16" customFormat="false" ht="12.8" hidden="false" customHeight="false" outlineLevel="0" collapsed="false">
      <c r="A16" s="29" t="s">
        <v>84</v>
      </c>
      <c r="B16" s="22" t="n">
        <f aca="false">B15-B13</f>
        <v>13418.7</v>
      </c>
      <c r="C16" s="41" t="n">
        <f aca="false">C15-C13</f>
        <v>13418.7</v>
      </c>
      <c r="D16" s="41" t="n">
        <f aca="false">D15-D13</f>
        <v>13418.7</v>
      </c>
    </row>
    <row r="17" customFormat="false" ht="12.8" hidden="false" customHeight="false" outlineLevel="0" collapsed="false">
      <c r="A17" s="34" t="s">
        <v>85</v>
      </c>
      <c r="B17" s="34"/>
      <c r="C17" s="34"/>
      <c r="D17" s="34"/>
    </row>
    <row r="18" customFormat="false" ht="12.8" hidden="false" customHeight="false" outlineLevel="0" collapsed="false">
      <c r="A18" s="26" t="s">
        <v>73</v>
      </c>
      <c r="B18" s="22" t="n">
        <f aca="false">B5</f>
        <v>3515399.6</v>
      </c>
      <c r="C18" s="41" t="n">
        <f aca="false">C5</f>
        <v>3651421.2</v>
      </c>
      <c r="D18" s="41" t="n">
        <f aca="false">D5</f>
        <v>3825298.4</v>
      </c>
    </row>
    <row r="19" customFormat="false" ht="12.8" hidden="false" customHeight="false" outlineLevel="0" collapsed="false">
      <c r="A19" s="26" t="s">
        <v>86</v>
      </c>
      <c r="B19" s="22" t="n">
        <f aca="false">B15</f>
        <v>147605.7</v>
      </c>
      <c r="C19" s="41" t="n">
        <f aca="false">C15</f>
        <v>147605.7</v>
      </c>
      <c r="D19" s="41" t="n">
        <f aca="false">D15</f>
        <v>147605.7</v>
      </c>
    </row>
    <row r="20" customFormat="false" ht="12.8" hidden="false" customHeight="false" outlineLevel="0" collapsed="false">
      <c r="A20" s="26" t="s">
        <v>87</v>
      </c>
      <c r="B20" s="22" t="n">
        <f aca="false">B11</f>
        <v>27729.7</v>
      </c>
      <c r="C20" s="41" t="n">
        <f aca="false">C11</f>
        <v>55459.4</v>
      </c>
      <c r="D20" s="41" t="n">
        <f aca="false">D11</f>
        <v>83189.1</v>
      </c>
    </row>
    <row r="21" customFormat="false" ht="12.8" hidden="false" customHeight="false" outlineLevel="0" collapsed="false">
      <c r="A21" s="26" t="s">
        <v>88</v>
      </c>
      <c r="B21" s="22" t="n">
        <f aca="false">B18+B19+B20</f>
        <v>3690735</v>
      </c>
      <c r="C21" s="41" t="n">
        <f aca="false">C18+C19+C20</f>
        <v>3854486.3</v>
      </c>
      <c r="D21" s="41" t="n">
        <f aca="false">D18+D19+D20</f>
        <v>4056093.2</v>
      </c>
    </row>
    <row r="22" customFormat="false" ht="12.8" hidden="false" customHeight="false" outlineLevel="0" collapsed="false">
      <c r="A22" s="26" t="s">
        <v>89</v>
      </c>
      <c r="B22" s="22" t="n">
        <f aca="false">B21-WhatIf_Baseline!$B$2</f>
        <v>79004.0000000005</v>
      </c>
      <c r="C22" s="41" t="n">
        <f aca="false">C21-WhatIf_Baseline!$B$2</f>
        <v>242755.3</v>
      </c>
      <c r="D22" s="41" t="n">
        <f aca="false">D21-WhatIf_Baseline!$B$2</f>
        <v>444362.200000001</v>
      </c>
    </row>
    <row r="23" customFormat="false" ht="12.8" hidden="false" customHeight="false" outlineLevel="0" collapsed="false">
      <c r="A23" s="29" t="s">
        <v>90</v>
      </c>
      <c r="B23" s="44" t="n">
        <f aca="false">B22/WhatIf_Baseline!$B$2</f>
        <v>0.0218742757973948</v>
      </c>
      <c r="C23" s="45" t="n">
        <f aca="false">C22/WhatIf_Baseline!$B$2</f>
        <v>0.0672130067272453</v>
      </c>
      <c r="D23" s="45" t="n">
        <f aca="false">D22/WhatIf_Baseline!$B$2</f>
        <v>0.123033027653499</v>
      </c>
    </row>
  </sheetData>
  <mergeCells count="4">
    <mergeCell ref="A2:D2"/>
    <mergeCell ref="A7:D7"/>
    <mergeCell ref="A12:D12"/>
    <mergeCell ref="A17:D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96"/>
    <col collapsed="false" customWidth="true" hidden="false" outlineLevel="0" max="4" min="2" style="0" width="12.84"/>
  </cols>
  <sheetData>
    <row r="1" customFormat="false" ht="15" hidden="false" customHeight="false" outlineLevel="0" collapsed="false">
      <c r="A1" s="46" t="s">
        <v>6</v>
      </c>
      <c r="B1" s="46" t="s">
        <v>12</v>
      </c>
      <c r="C1" s="46" t="s">
        <v>16</v>
      </c>
      <c r="D1" s="46" t="s">
        <v>20</v>
      </c>
    </row>
    <row r="2" customFormat="false" ht="12.8" hidden="false" customHeight="false" outlineLevel="0" collapsed="false">
      <c r="A2" s="5" t="s">
        <v>88</v>
      </c>
      <c r="B2" s="5" t="n">
        <f aca="false">WhatIf_Calculation!B21</f>
        <v>3690735</v>
      </c>
      <c r="C2" s="5" t="n">
        <f aca="false">WhatIf_Calculation!C21</f>
        <v>3854486.3</v>
      </c>
      <c r="D2" s="5" t="n">
        <f aca="false">WhatIf_Calculation!D21</f>
        <v>4056093.2</v>
      </c>
    </row>
    <row r="3" customFormat="false" ht="12.8" hidden="false" customHeight="false" outlineLevel="0" collapsed="false">
      <c r="A3" s="6" t="s">
        <v>91</v>
      </c>
      <c r="B3" s="47" t="n">
        <f aca="false">WhatIf_Baseline!$B$2</f>
        <v>3611731</v>
      </c>
      <c r="C3" s="47" t="n">
        <f aca="false">WhatIf_Baseline!$B$2</f>
        <v>3611731</v>
      </c>
      <c r="D3" s="47" t="n">
        <f aca="false">WhatIf_Baseline!$B$2</f>
        <v>3611731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2026-05-26T09:23:17Z</dcterms:created>
  <dc:creator/>
  <dc:description/>
  <dc:language>en-US</dc:language>
  <cp:lastModifiedBy/>
  <dcterms:modified xsi:type="dcterms:W3CDTF">2026-05-28T11:46:39Z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