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WhatIf_Baseline" sheetId="1" state="visible" r:id="rId3"/>
    <sheet name="WhatIf_Input" sheetId="2" state="visible" r:id="rId4"/>
    <sheet name="WhatIf_Calculation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<sst xmlns="http://schemas.openxmlformats.org/spreadsheetml/2006/main" count="60" uniqueCount="56">
  <si>
    <t xml:space="preserve">Item</t>
  </si>
  <si>
    <t xml:space="preserve">Value</t>
  </si>
  <si>
    <t xml:space="preserve">Source</t>
  </si>
  <si>
    <t xml:space="preserve">Total Profit 2022</t>
  </si>
  <si>
    <t xml:space="preserve">overall_metrics.csv</t>
  </si>
  <si>
    <t xml:space="preserve">Bikes Profit 2022</t>
  </si>
  <si>
    <t xml:space="preserve">top_drivers_dec.csv (Bikes 2022)</t>
  </si>
  <si>
    <t xml:space="preserve">Bikes Profit 2021</t>
  </si>
  <si>
    <t xml:space="preserve">top_drivers_dec.csv (Bikes 2021)</t>
  </si>
  <si>
    <t xml:space="preserve">Road-250 Profit 2022</t>
  </si>
  <si>
    <t xml:space="preserve">201,446 + 54,235 (02_bikes_model_and_colour.xlsx)</t>
  </si>
  <si>
    <t xml:space="preserve">Road-250 Profit 2021</t>
  </si>
  <si>
    <t xml:space="preserve">492,423 + 290,100 (02_bikes_model_and_colour.xlsx)</t>
  </si>
  <si>
    <t xml:space="preserve">Mountain-200 Profit 2022</t>
  </si>
  <si>
    <t xml:space="preserve">682,941 + 683,705</t>
  </si>
  <si>
    <t xml:space="preserve">Mountain-200 Profit 2021</t>
  </si>
  <si>
    <t xml:space="preserve">798,965 + 771,433</t>
  </si>
  <si>
    <t xml:space="preserve">Pacific Returns Value 2022</t>
  </si>
  <si>
    <t xml:space="preserve">Pacific Sales Qty 2022</t>
  </si>
  <si>
    <t xml:space="preserve">dec_by_territory.csv</t>
  </si>
  <si>
    <t xml:space="preserve">Pacific Returns Qty 2022</t>
  </si>
  <si>
    <t xml:space="preserve">Volume Growth 2022</t>
  </si>
  <si>
    <t xml:space="preserve">Variable</t>
  </si>
  <si>
    <t xml:space="preserve">Current</t>
  </si>
  <si>
    <t xml:space="preserve">Scenario 1</t>
  </si>
  <si>
    <t xml:space="preserve">Scenario 2</t>
  </si>
  <si>
    <t xml:space="preserve">Scenario 3</t>
  </si>
  <si>
    <t xml:space="preserve">Bikes Margin Improvement</t>
  </si>
  <si>
    <t xml:space="preserve">Pacific Returns Reduction</t>
  </si>
  <si>
    <t xml:space="preserve">Volume Growth 2023</t>
  </si>
  <si>
    <t xml:space="preserve">25% (actual 2022)</t>
  </si>
  <si>
    <t xml:space="preserve">Component</t>
  </si>
  <si>
    <t xml:space="preserve">Skenario 1</t>
  </si>
  <si>
    <t xml:space="preserve">Skenario 2</t>
  </si>
  <si>
    <t xml:space="preserve">Skenario 3</t>
  </si>
  <si>
    <t xml:space="preserve">Bikes Impact</t>
  </si>
  <si>
    <t xml:space="preserve">Bikes Current Profit</t>
  </si>
  <si>
    <t xml:space="preserve">Margin Improvement %</t>
  </si>
  <si>
    <t xml:space="preserve">Bikes New Profit</t>
  </si>
  <si>
    <t xml:space="preserve">Bikes Profit Gain</t>
  </si>
  <si>
    <t xml:space="preserve">Pacific Returns Impact</t>
  </si>
  <si>
    <t xml:space="preserve">Pacific Returns Current</t>
  </si>
  <si>
    <t xml:space="preserve">Returns Reduction %</t>
  </si>
  <si>
    <t xml:space="preserve">Pacific Returns New</t>
  </si>
  <si>
    <t xml:space="preserve">Returns Savings</t>
  </si>
  <si>
    <t xml:space="preserve">Volume Impact</t>
  </si>
  <si>
    <t xml:space="preserve">Current Profit (Non-Bikes)</t>
  </si>
  <si>
    <t xml:space="preserve">Volume Growth %</t>
  </si>
  <si>
    <t xml:space="preserve">New Profit from</t>
  </si>
  <si>
    <t xml:space="preserve">Volume Gain</t>
  </si>
  <si>
    <t xml:space="preserve">TOTAL PROFIT 2023</t>
  </si>
  <si>
    <t xml:space="preserve">Non-Bikes New Profit</t>
  </si>
  <si>
    <t xml:space="preserve">Pacific Returns Savings</t>
  </si>
  <si>
    <t xml:space="preserve">Total Profit 2023</t>
  </si>
  <si>
    <t xml:space="preserve">Improvement vs 2022</t>
  </si>
  <si>
    <t xml:space="preserve">Improvement %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</si>
</sst>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"/>
    <numFmt numFmtId="167" formatCode="0%"/>
    <numFmt numFmtId="168" formatCode="0.00%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3.55"/>
    <col collapsed="false" customWidth="false" hidden="false" outlineLevel="0" max="2" min="2" style="2" width="11.53"/>
    <col collapsed="false" customWidth="true" hidden="false" outlineLevel="0" max="3" min="3" style="1" width="44.98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</row>
    <row r="2" customFormat="false" ht="12.8" hidden="false" customHeight="false" outlineLevel="0" collapsed="false">
      <c r="A2" s="5" t="s">
        <v>3</v>
      </c>
      <c r="B2" s="6" t="n">
        <v>3611731</v>
      </c>
      <c r="C2" s="5" t="s">
        <v>4</v>
      </c>
    </row>
    <row r="3" customFormat="false" ht="12.8" hidden="false" customHeight="false" outlineLevel="0" collapsed="false">
      <c r="A3" s="5" t="s">
        <v>5</v>
      </c>
      <c r="B3" s="6" t="n">
        <v>3477544</v>
      </c>
      <c r="C3" s="5" t="s">
        <v>6</v>
      </c>
    </row>
    <row r="4" customFormat="false" ht="12.8" hidden="false" customHeight="false" outlineLevel="0" collapsed="false">
      <c r="A4" s="5" t="s">
        <v>7</v>
      </c>
      <c r="B4" s="6" t="n">
        <v>3647021</v>
      </c>
      <c r="C4" s="5" t="s">
        <v>8</v>
      </c>
    </row>
    <row r="5" customFormat="false" ht="12.8" hidden="false" customHeight="false" outlineLevel="0" collapsed="false">
      <c r="A5" s="5" t="s">
        <v>9</v>
      </c>
      <c r="B5" s="6" t="n">
        <v>255681</v>
      </c>
      <c r="C5" s="5" t="s">
        <v>10</v>
      </c>
    </row>
    <row r="6" customFormat="false" ht="12.8" hidden="false" customHeight="false" outlineLevel="0" collapsed="false">
      <c r="A6" s="5" t="s">
        <v>11</v>
      </c>
      <c r="B6" s="6" t="n">
        <v>782523</v>
      </c>
      <c r="C6" s="5" t="s">
        <v>12</v>
      </c>
    </row>
    <row r="7" customFormat="false" ht="12.8" hidden="false" customHeight="false" outlineLevel="0" collapsed="false">
      <c r="A7" s="5" t="s">
        <v>13</v>
      </c>
      <c r="B7" s="6" t="n">
        <v>1366646</v>
      </c>
      <c r="C7" s="5" t="s">
        <v>14</v>
      </c>
    </row>
    <row r="8" customFormat="false" ht="12.8" hidden="false" customHeight="false" outlineLevel="0" collapsed="false">
      <c r="A8" s="5" t="s">
        <v>15</v>
      </c>
      <c r="B8" s="6" t="n">
        <v>1570398</v>
      </c>
      <c r="C8" s="5" t="s">
        <v>16</v>
      </c>
    </row>
    <row r="9" customFormat="false" ht="12.8" hidden="false" customHeight="false" outlineLevel="0" collapsed="false">
      <c r="A9" s="5" t="s">
        <v>17</v>
      </c>
      <c r="B9" s="6" t="n">
        <v>277297</v>
      </c>
      <c r="C9" s="5" t="s">
        <v>4</v>
      </c>
    </row>
    <row r="10" customFormat="false" ht="12.8" hidden="false" customHeight="false" outlineLevel="0" collapsed="false">
      <c r="A10" s="5" t="s">
        <v>18</v>
      </c>
      <c r="B10" s="6" t="n">
        <v>1944835</v>
      </c>
      <c r="C10" s="5" t="s">
        <v>19</v>
      </c>
    </row>
    <row r="11" customFormat="false" ht="12.8" hidden="false" customHeight="false" outlineLevel="0" collapsed="false">
      <c r="A11" s="5" t="s">
        <v>20</v>
      </c>
      <c r="B11" s="7" t="n">
        <v>972</v>
      </c>
      <c r="C11" s="5" t="s">
        <v>4</v>
      </c>
    </row>
    <row r="12" customFormat="false" ht="12.8" hidden="false" customHeight="false" outlineLevel="0" collapsed="false">
      <c r="A12" s="8" t="s">
        <v>21</v>
      </c>
      <c r="B12" s="9" t="n">
        <v>0.25</v>
      </c>
      <c r="C12" s="8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3.27"/>
    <col collapsed="false" customWidth="true" hidden="false" outlineLevel="0" max="2" min="2" style="1" width="16.18"/>
    <col collapsed="false" customWidth="true" hidden="false" outlineLevel="0" max="5" min="3" style="1" width="11.85"/>
  </cols>
  <sheetData>
    <row r="1" customFormat="false" ht="13.8" hidden="false" customHeight="false" outlineLevel="0" collapsed="false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</row>
    <row r="2" customFormat="false" ht="12.8" hidden="false" customHeight="false" outlineLevel="0" collapsed="false">
      <c r="A2" s="5" t="s">
        <v>27</v>
      </c>
      <c r="B2" s="11" t="n">
        <v>0</v>
      </c>
      <c r="C2" s="11" t="n">
        <v>0.02</v>
      </c>
      <c r="D2" s="11" t="n">
        <v>0.05</v>
      </c>
      <c r="E2" s="11" t="n">
        <v>0.1</v>
      </c>
    </row>
    <row r="3" customFormat="false" ht="12.8" hidden="false" customHeight="false" outlineLevel="0" collapsed="false">
      <c r="A3" s="5" t="s">
        <v>28</v>
      </c>
      <c r="B3" s="11" t="n">
        <v>0</v>
      </c>
      <c r="C3" s="11" t="n">
        <v>-0.1</v>
      </c>
      <c r="D3" s="11" t="n">
        <v>-0.2</v>
      </c>
      <c r="E3" s="11" t="n">
        <v>-0.3</v>
      </c>
    </row>
    <row r="4" customFormat="false" ht="12.8" hidden="false" customHeight="false" outlineLevel="0" collapsed="false">
      <c r="A4" s="8" t="s">
        <v>29</v>
      </c>
      <c r="B4" s="12" t="s">
        <v>30</v>
      </c>
      <c r="C4" s="9" t="n">
        <v>0.1</v>
      </c>
      <c r="D4" s="9" t="n">
        <v>0.1</v>
      </c>
      <c r="E4" s="9" t="n">
        <v>0.1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3" activeCellId="0" sqref="E2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3"/>
    <col collapsed="false" customWidth="true" hidden="false" outlineLevel="0" max="4" min="2" style="1" width="12.84"/>
  </cols>
  <sheetData>
    <row r="1" customFormat="false" ht="15" hidden="false" customHeight="false" outlineLevel="0" collapsed="false">
      <c r="A1" s="3" t="s">
        <v>31</v>
      </c>
      <c r="B1" s="3" t="s">
        <v>32</v>
      </c>
      <c r="C1" s="3" t="s">
        <v>33</v>
      </c>
      <c r="D1" s="3" t="s">
        <v>34</v>
      </c>
    </row>
    <row r="2" customFormat="false" ht="12.8" hidden="false" customHeight="false" outlineLevel="0" collapsed="false">
      <c r="A2" s="13" t="s">
        <v>35</v>
      </c>
      <c r="B2" s="13"/>
      <c r="C2" s="13"/>
      <c r="D2" s="13"/>
    </row>
    <row r="3" customFormat="false" ht="12.8" hidden="false" customHeight="false" outlineLevel="0" collapsed="false">
      <c r="A3" s="5" t="s">
        <v>36</v>
      </c>
      <c r="B3" s="14" t="n">
        <f aca="false">WhatIf_Baseline!$B$3</f>
        <v>3477544</v>
      </c>
      <c r="C3" s="14" t="n">
        <f aca="false">WhatIf_Baseline!$B$3</f>
        <v>3477544</v>
      </c>
      <c r="D3" s="14" t="n">
        <f aca="false">WhatIf_Baseline!$B$3</f>
        <v>3477544</v>
      </c>
    </row>
    <row r="4" customFormat="false" ht="12.8" hidden="false" customHeight="false" outlineLevel="0" collapsed="false">
      <c r="A4" s="5" t="s">
        <v>37</v>
      </c>
      <c r="B4" s="15" t="n">
        <f aca="false">WhatIf_Input!C$2</f>
        <v>0.02</v>
      </c>
      <c r="C4" s="15" t="n">
        <f aca="false">WhatIf_Input!D$2</f>
        <v>0.05</v>
      </c>
      <c r="D4" s="15" t="n">
        <f aca="false">WhatIf_Input!E$2</f>
        <v>0.1</v>
      </c>
    </row>
    <row r="5" customFormat="false" ht="12.8" hidden="false" customHeight="false" outlineLevel="0" collapsed="false">
      <c r="A5" s="5" t="s">
        <v>38</v>
      </c>
      <c r="B5" s="5" t="n">
        <f aca="false">B3*(1+B4)</f>
        <v>3547094.88</v>
      </c>
      <c r="C5" s="5" t="n">
        <f aca="false">C3*(1+C4)</f>
        <v>3651421.2</v>
      </c>
      <c r="D5" s="5" t="n">
        <f aca="false">D3*(1+D4)</f>
        <v>3825298.4</v>
      </c>
    </row>
    <row r="6" customFormat="false" ht="12.8" hidden="false" customHeight="false" outlineLevel="0" collapsed="false">
      <c r="A6" s="8" t="s">
        <v>39</v>
      </c>
      <c r="B6" s="8" t="n">
        <f aca="false">B5-B3</f>
        <v>69550.8799999999</v>
      </c>
      <c r="C6" s="8" t="n">
        <f aca="false">C5-C3</f>
        <v>173877.2</v>
      </c>
      <c r="D6" s="8" t="n">
        <f aca="false">D5-D3</f>
        <v>347754.4</v>
      </c>
    </row>
    <row r="7" customFormat="false" ht="12.8" hidden="false" customHeight="false" outlineLevel="0" collapsed="false">
      <c r="A7" s="13" t="s">
        <v>40</v>
      </c>
      <c r="B7" s="13"/>
      <c r="C7" s="13"/>
      <c r="D7" s="13"/>
    </row>
    <row r="8" customFormat="false" ht="12.8" hidden="false" customHeight="false" outlineLevel="0" collapsed="false">
      <c r="A8" s="5" t="s">
        <v>41</v>
      </c>
      <c r="B8" s="16" t="n">
        <f aca="false">WhatIf_Baseline!$B$9</f>
        <v>277297</v>
      </c>
      <c r="C8" s="16" t="n">
        <f aca="false">WhatIf_Baseline!$B$9</f>
        <v>277297</v>
      </c>
      <c r="D8" s="17" t="n">
        <f aca="false">WhatIf_Baseline!$B$9</f>
        <v>277297</v>
      </c>
    </row>
    <row r="9" customFormat="false" ht="12.8" hidden="false" customHeight="false" outlineLevel="0" collapsed="false">
      <c r="A9" s="5" t="s">
        <v>42</v>
      </c>
      <c r="B9" s="18" t="n">
        <f aca="false">WhatIf_Input!C$3</f>
        <v>-0.1</v>
      </c>
      <c r="C9" s="11" t="n">
        <f aca="false">WhatIf_Input!D$3</f>
        <v>-0.2</v>
      </c>
      <c r="D9" s="11" t="n">
        <f aca="false">WhatIf_Input!E$3</f>
        <v>-0.3</v>
      </c>
    </row>
    <row r="10" customFormat="false" ht="12.8" hidden="false" customHeight="false" outlineLevel="0" collapsed="false">
      <c r="A10" s="5" t="s">
        <v>43</v>
      </c>
      <c r="B10" s="19" t="n">
        <f aca="false">B8*(1+B9)</f>
        <v>249567.3</v>
      </c>
      <c r="C10" s="19" t="n">
        <f aca="false">C8*(1+C9)</f>
        <v>221837.6</v>
      </c>
      <c r="D10" s="5" t="n">
        <f aca="false">D8*(1+D9)</f>
        <v>194107.9</v>
      </c>
    </row>
    <row r="11" customFormat="false" ht="12.8" hidden="false" customHeight="false" outlineLevel="0" collapsed="false">
      <c r="A11" s="8" t="s">
        <v>44</v>
      </c>
      <c r="B11" s="20" t="n">
        <f aca="false">B8-B10</f>
        <v>27729.7</v>
      </c>
      <c r="C11" s="20" t="n">
        <f aca="false">C8-C10</f>
        <v>55459.4</v>
      </c>
      <c r="D11" s="8" t="n">
        <f aca="false">D8-D10</f>
        <v>83189.1</v>
      </c>
    </row>
    <row r="12" customFormat="false" ht="12.8" hidden="false" customHeight="false" outlineLevel="0" collapsed="false">
      <c r="A12" s="13" t="s">
        <v>45</v>
      </c>
      <c r="B12" s="13" t="n">
        <f aca="false">B9-B11</f>
        <v>-27729.8</v>
      </c>
      <c r="C12" s="13"/>
      <c r="D12" s="13"/>
    </row>
    <row r="13" customFormat="false" ht="12.8" hidden="false" customHeight="false" outlineLevel="0" collapsed="false">
      <c r="A13" s="5" t="s">
        <v>46</v>
      </c>
      <c r="B13" s="1" t="n">
        <f aca="false">WhatIf_Baseline!$B$2-WhatIf_Baseline!$B$3</f>
        <v>134187</v>
      </c>
      <c r="C13" s="21" t="n">
        <f aca="false">WhatIf_Baseline!$B$2-WhatIf_Baseline!$B$3</f>
        <v>134187</v>
      </c>
      <c r="D13" s="22" t="n">
        <f aca="false">WhatIf_Baseline!$B$2-WhatIf_Baseline!$B$3</f>
        <v>134187</v>
      </c>
    </row>
    <row r="14" customFormat="false" ht="12.8" hidden="false" customHeight="false" outlineLevel="0" collapsed="false">
      <c r="A14" s="5" t="s">
        <v>47</v>
      </c>
      <c r="B14" s="23" t="n">
        <f aca="false">WhatIf_Input!C4</f>
        <v>0.1</v>
      </c>
      <c r="C14" s="18" t="n">
        <f aca="false">WhatIf_Input!D4</f>
        <v>0.1</v>
      </c>
      <c r="D14" s="11" t="n">
        <f aca="false">WhatIf_Input!E4</f>
        <v>0.1</v>
      </c>
    </row>
    <row r="15" customFormat="false" ht="12.8" hidden="false" customHeight="false" outlineLevel="0" collapsed="false">
      <c r="A15" s="5" t="s">
        <v>48</v>
      </c>
      <c r="B15" s="1" t="n">
        <f aca="false">B13*(1+B14)</f>
        <v>147605.7</v>
      </c>
      <c r="C15" s="21" t="n">
        <f aca="false">C13*(1+C14)</f>
        <v>147605.7</v>
      </c>
      <c r="D15" s="21" t="n">
        <f aca="false">D13*(1+D14)</f>
        <v>147605.7</v>
      </c>
    </row>
    <row r="16" customFormat="false" ht="12.8" hidden="false" customHeight="false" outlineLevel="0" collapsed="false">
      <c r="A16" s="8" t="s">
        <v>49</v>
      </c>
      <c r="B16" s="1" t="n">
        <f aca="false">B15-B13</f>
        <v>13418.7</v>
      </c>
      <c r="C16" s="21" t="n">
        <f aca="false">C15-C13</f>
        <v>13418.7</v>
      </c>
      <c r="D16" s="21" t="n">
        <f aca="false">D15-D13</f>
        <v>13418.7</v>
      </c>
    </row>
    <row r="17" customFormat="false" ht="12.8" hidden="false" customHeight="false" outlineLevel="0" collapsed="false">
      <c r="A17" s="13" t="s">
        <v>50</v>
      </c>
      <c r="B17" s="13"/>
      <c r="C17" s="13"/>
      <c r="D17" s="13"/>
    </row>
    <row r="18" customFormat="false" ht="12.8" hidden="false" customHeight="false" outlineLevel="0" collapsed="false">
      <c r="A18" s="5" t="s">
        <v>38</v>
      </c>
      <c r="B18" s="1" t="n">
        <f aca="false">B5</f>
        <v>3547094.88</v>
      </c>
      <c r="C18" s="21" t="n">
        <f aca="false">C5</f>
        <v>3651421.2</v>
      </c>
      <c r="D18" s="21" t="n">
        <f aca="false">D5</f>
        <v>3825298.4</v>
      </c>
    </row>
    <row r="19" customFormat="false" ht="12.8" hidden="false" customHeight="false" outlineLevel="0" collapsed="false">
      <c r="A19" s="5" t="s">
        <v>51</v>
      </c>
      <c r="B19" s="1" t="n">
        <f aca="false">B15</f>
        <v>147605.7</v>
      </c>
      <c r="C19" s="21" t="n">
        <f aca="false">C15</f>
        <v>147605.7</v>
      </c>
      <c r="D19" s="21" t="n">
        <f aca="false">D15</f>
        <v>147605.7</v>
      </c>
    </row>
    <row r="20" customFormat="false" ht="12.8" hidden="false" customHeight="false" outlineLevel="0" collapsed="false">
      <c r="A20" s="5" t="s">
        <v>52</v>
      </c>
      <c r="B20" s="1" t="n">
        <f aca="false">B11</f>
        <v>27729.7</v>
      </c>
      <c r="C20" s="21" t="n">
        <f aca="false">C11</f>
        <v>55459.4</v>
      </c>
      <c r="D20" s="21" t="n">
        <f aca="false">D11</f>
        <v>83189.1</v>
      </c>
    </row>
    <row r="21" customFormat="false" ht="12.8" hidden="false" customHeight="false" outlineLevel="0" collapsed="false">
      <c r="A21" s="5" t="s">
        <v>53</v>
      </c>
      <c r="B21" s="1" t="n">
        <f aca="false">B18+B19+B20</f>
        <v>3722430.28</v>
      </c>
      <c r="C21" s="21" t="n">
        <f aca="false">C18+C19+C20</f>
        <v>3854486.3</v>
      </c>
      <c r="D21" s="21" t="n">
        <f aca="false">D18+D19+D20</f>
        <v>4056093.2</v>
      </c>
    </row>
    <row r="22" customFormat="false" ht="12.8" hidden="false" customHeight="false" outlineLevel="0" collapsed="false">
      <c r="A22" s="5" t="s">
        <v>54</v>
      </c>
      <c r="B22" s="1" t="n">
        <f aca="false">B21-WhatIf_Baseline!$B$2</f>
        <v>110699.28</v>
      </c>
      <c r="C22" s="21" t="n">
        <f aca="false">C21-WhatIf_Baseline!$B$2</f>
        <v>242755.3</v>
      </c>
      <c r="D22" s="21" t="n">
        <f aca="false">D21-WhatIf_Baseline!$B$2</f>
        <v>444362.200000001</v>
      </c>
    </row>
    <row r="23" customFormat="false" ht="12.8" hidden="false" customHeight="false" outlineLevel="0" collapsed="false">
      <c r="A23" s="8" t="s">
        <v>55</v>
      </c>
      <c r="B23" s="24" t="n">
        <f aca="false">B22/WhatIf_Baseline!$B$2</f>
        <v>0.030649923817693</v>
      </c>
      <c r="C23" s="25" t="n">
        <f aca="false">C22/WhatIf_Baseline!$B$2</f>
        <v>0.0672130067272453</v>
      </c>
      <c r="D23" s="25" t="n">
        <f aca="false">D22/WhatIf_Baseline!$B$2</f>
        <v>0.123033027653499</v>
      </c>
    </row>
  </sheetData>
  <mergeCells count="4">
    <mergeCell ref="A2:D2"/>
    <mergeCell ref="A7:D7"/>
    <mergeCell ref="A12:D12"/>
    <mergeCell ref="A17:D1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2026-05-26T09:23:17Z</dcterms:created>
  <dc:creator/>
  <dc:description/>
  <dc:language>en-US</dc:language>
  <cp:lastModifiedBy/>
  <dcterms:modified xsi:type="dcterms:W3CDTF">2026-05-26T11:15:52Z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