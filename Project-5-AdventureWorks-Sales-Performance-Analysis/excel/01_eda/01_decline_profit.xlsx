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ll_Data" sheetId="1" state="visible" r:id="rId3"/>
    <sheet name="Pivot Table_All_Data_1" sheetId="2" state="visible" r:id="rId4"/>
  </sheets>
  <calcPr iterateCount="100" refMode="A1" iterate="false" iterateDelta="0.001"/>
  <pivotCaches>
    <pivotCache cacheId="1" r:id="rId6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<sst xmlns="http://schemas.openxmlformats.org/spreadsheetml/2006/main" count="86" uniqueCount="48">
  <si>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</si>
  <si>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</si>
  <si>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</si>
  <si>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</si>
  <si>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</si>
  <si>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</si>
  <si>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</si>
  <si>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</si>
  <si>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</si>
  <si>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</si>
  <si>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</si>
  <si>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</si>
  <si>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</si>
  <si>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</si>
  <si>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</si>
  <si>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</si>
  <si>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</si>
  <si>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</si>
  <si>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</si>
  <si>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</si>
  <si>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</si>
  <si>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</si>
  <si>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</si>
  <si>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</si>
  <si>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returns_per_qty</t>
  </si>
  <si>
    <t xml:space="preserve">source</t>
  </si>
  <si>
    <t xml:space="preserve">0</t>
  </si>
  <si>
    <t xml:space="preserve">Overall</t>
  </si>
  <si>
    <t xml:space="preserve">Accessories</t>
  </si>
  <si>
    <t xml:space="preserve">Categories</t>
  </si>
  <si>
    <t xml:space="preserve">Bikes</t>
  </si>
  <si>
    <t xml:space="preserve">Clothing</t>
  </si>
  <si>
    <t xml:space="preserve">Europe</t>
  </si>
  <si>
    <t xml:space="preserve">Territory</t>
  </si>
  <si>
    <t xml:space="preserve">North America</t>
  </si>
  <si>
    <t xml:space="preserve">Pacific</t>
  </si>
  <si>
    <t xml:space="preserve">- all -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</si>
  <si>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</si>
  <si>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</si>
  <si>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</si>
  <si>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</si>
  <si>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</si>
  <si>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Min - decline_rank</t>
  </si>
  <si>
    <t xml:space="preserve">Average - returns_per_qty</t>
  </si>
  <si>
    <t xml:space="preserve">Sum - profit_yoy_pct</t>
  </si>
  <si>
    <t xml:space="preserve">Sum - qty_yoy_pct</t>
  </si>
  <si>
    <t xml:space="preserve">Sum - profit_delta</t>
  </si>
  <si>
    <t xml:space="preserve">Total Result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</si>
</sst>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"/>
    <numFmt numFmtId="167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0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5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1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5:J9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dataField="1" compact="0" showAll="0" outline="0"/>
    <pivotField dataField="1" compact="0" showAll="0" outline="0"/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14" hier="-1"/>
    <pageField fld="21" hier="-1"/>
    <pageField fld="25" hier="-1"/>
  </pageFields>
  <dataFields count="9">
    <dataField name="Sum - total_qty" fld="1" subtotal="sum" numFmtId="165"/>
    <dataField name="Sum - net_profit" fld="8" subtotal="sum" numFmtId="167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Sum - profit_yoy_pct*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2" width="13.4"/>
    <col collapsed="false" customWidth="false" hidden="false" outlineLevel="0" max="4" min="4" style="2" width="11.53"/>
    <col collapsed="false" customWidth="true" hidden="false" outlineLevel="0" max="6" min="5" style="2" width="16.74"/>
    <col collapsed="false" customWidth="false" hidden="false" outlineLevel="0" max="12" min="7" style="2" width="11.53"/>
    <col collapsed="false" customWidth="true" hidden="false" outlineLevel="0" max="13" min="13" style="2" width="12.98"/>
    <col collapsed="false" customWidth="true" hidden="false" outlineLevel="0" max="14" min="14" style="2" width="15.9"/>
    <col collapsed="false" customWidth="true" hidden="false" outlineLevel="0" max="15" min="15" style="3" width="13.4"/>
    <col collapsed="false" customWidth="true" hidden="false" outlineLevel="0" max="17" min="17" style="3" width="13.4"/>
    <col collapsed="false" customWidth="true" hidden="false" outlineLevel="0" max="22" min="22" style="3" width="13.12"/>
    <col collapsed="false" customWidth="true" hidden="false" outlineLevel="0" max="25" min="24" style="3" width="16.74"/>
    <col collapsed="false" customWidth="true" hidden="false" outlineLevel="0" max="26" min="26" style="3" width="10.2"/>
  </cols>
  <sheetData>
    <row r="1" customFormat="false" ht="12.8" hidden="false" customHeight="fals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</row>
    <row r="2" customFormat="false" ht="12.8" hidden="false" customHeight="false" outlineLevel="0" collapsed="false">
      <c r="A2" s="4" t="n">
        <v>2021</v>
      </c>
      <c r="B2" s="4" t="n">
        <v>36230</v>
      </c>
      <c r="C2" s="2" t="n">
        <v>9324203.79</v>
      </c>
      <c r="D2" s="2" t="n">
        <v>5357119.66</v>
      </c>
      <c r="E2" s="2" t="n">
        <v>3967084.13</v>
      </c>
      <c r="F2" s="2" t="n">
        <v>770</v>
      </c>
      <c r="G2" s="2" t="n">
        <v>276348.93</v>
      </c>
      <c r="H2" s="2" t="n">
        <v>35460</v>
      </c>
      <c r="I2" s="2" t="n">
        <v>3690735.2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42.55</v>
      </c>
      <c r="O2" s="3" t="s">
        <v>26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s">
        <v>26</v>
      </c>
      <c r="W2" s="3" t="n">
        <v>0</v>
      </c>
      <c r="X2" s="3" t="n">
        <v>0</v>
      </c>
      <c r="Y2" s="3" t="n">
        <v>0</v>
      </c>
      <c r="Z2" s="3" t="s">
        <v>27</v>
      </c>
    </row>
    <row r="3" customFormat="false" ht="12.8" hidden="false" customHeight="false" outlineLevel="0" collapsed="false">
      <c r="A3" s="4" t="n">
        <v>2022</v>
      </c>
      <c r="B3" s="4" t="n">
        <v>45314</v>
      </c>
      <c r="C3" s="2" t="n">
        <v>9185449.45</v>
      </c>
      <c r="D3" s="2" t="n">
        <v>5296420.47</v>
      </c>
      <c r="E3" s="2" t="n">
        <v>3889028.97</v>
      </c>
      <c r="F3" s="2" t="n">
        <v>972</v>
      </c>
      <c r="G3" s="2" t="n">
        <v>277297.17</v>
      </c>
      <c r="H3" s="2" t="n">
        <v>44342</v>
      </c>
      <c r="I3" s="2" t="n">
        <v>3611731.81</v>
      </c>
      <c r="J3" s="2" t="n">
        <v>36230</v>
      </c>
      <c r="K3" s="2" t="n">
        <v>3690735.2</v>
      </c>
      <c r="L3" s="2" t="n">
        <v>25.07</v>
      </c>
      <c r="M3" s="2" t="n">
        <v>-2.14</v>
      </c>
      <c r="N3" s="2" t="n">
        <v>42.34</v>
      </c>
      <c r="O3" s="3" t="s">
        <v>26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s">
        <v>26</v>
      </c>
      <c r="W3" s="3" t="n">
        <v>0</v>
      </c>
      <c r="X3" s="3" t="n">
        <v>0</v>
      </c>
      <c r="Y3" s="3" t="n">
        <v>0</v>
      </c>
      <c r="Z3" s="3" t="s">
        <v>27</v>
      </c>
    </row>
    <row r="4" customFormat="false" ht="12.8" hidden="false" customHeight="false" outlineLevel="0" collapsed="false">
      <c r="A4" s="4" t="n">
        <v>2021</v>
      </c>
      <c r="B4" s="4" t="n">
        <v>25316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250936.12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3" t="s">
        <v>28</v>
      </c>
      <c r="P4" s="3" t="n">
        <v>399342.117799956</v>
      </c>
      <c r="Q4" s="3" t="n">
        <v>148405.994799995</v>
      </c>
      <c r="R4" s="3" t="n">
        <v>2.68812185758366</v>
      </c>
      <c r="S4" s="3" t="n">
        <v>0</v>
      </c>
      <c r="T4" s="3" t="n">
        <v>0</v>
      </c>
      <c r="U4" s="3" t="n">
        <v>6</v>
      </c>
      <c r="V4" s="3" t="s">
        <v>26</v>
      </c>
      <c r="W4" s="3" t="n">
        <v>0</v>
      </c>
      <c r="X4" s="3" t="n">
        <v>0</v>
      </c>
      <c r="Y4" s="3" t="n">
        <v>0</v>
      </c>
      <c r="Z4" s="3" t="s">
        <v>29</v>
      </c>
    </row>
    <row r="5" customFormat="false" ht="12.8" hidden="false" customHeight="false" outlineLevel="0" collapsed="false">
      <c r="A5" s="4" t="n">
        <v>2022</v>
      </c>
      <c r="B5" s="4" t="n">
        <v>32493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318823.94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 t="s">
        <v>28</v>
      </c>
      <c r="P5" s="3" t="n">
        <v>507330.989199908</v>
      </c>
      <c r="Q5" s="3" t="n">
        <v>188507.051199988</v>
      </c>
      <c r="R5" s="3" t="n">
        <v>2.68828158743257</v>
      </c>
      <c r="S5" s="3" t="n">
        <v>7177</v>
      </c>
      <c r="T5" s="3" t="n">
        <v>67887.8149999597</v>
      </c>
      <c r="U5" s="3" t="n">
        <v>3</v>
      </c>
      <c r="V5" s="3" t="s">
        <v>26</v>
      </c>
      <c r="W5" s="3" t="n">
        <v>0</v>
      </c>
      <c r="X5" s="3" t="n">
        <v>0</v>
      </c>
      <c r="Y5" s="3" t="n">
        <v>0</v>
      </c>
      <c r="Z5" s="3" t="s">
        <v>29</v>
      </c>
    </row>
    <row r="6" customFormat="false" ht="12.8" hidden="false" customHeight="false" outlineLevel="0" collapsed="false">
      <c r="A6" s="4" t="n">
        <v>2021</v>
      </c>
      <c r="B6" s="4" t="n">
        <v>5610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3647021.02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3" t="s">
        <v>30</v>
      </c>
      <c r="P6" s="3" t="n">
        <v>8768706.98490015</v>
      </c>
      <c r="Q6" s="3" t="n">
        <v>5121685.96939992</v>
      </c>
      <c r="R6" s="3" t="n">
        <v>1.70568672635527</v>
      </c>
      <c r="S6" s="3" t="n">
        <v>0</v>
      </c>
      <c r="T6" s="3" t="n">
        <v>0</v>
      </c>
      <c r="U6" s="3" t="n">
        <v>4</v>
      </c>
      <c r="V6" s="3" t="s">
        <v>26</v>
      </c>
      <c r="W6" s="3" t="n">
        <v>0</v>
      </c>
      <c r="X6" s="3" t="n">
        <v>0</v>
      </c>
      <c r="Y6" s="3" t="n">
        <v>0</v>
      </c>
      <c r="Z6" s="3" t="s">
        <v>29</v>
      </c>
    </row>
    <row r="7" customFormat="false" ht="12.8" hidden="false" customHeight="false" outlineLevel="0" collapsed="false">
      <c r="A7" s="4" t="n">
        <v>2022</v>
      </c>
      <c r="B7" s="4" t="n">
        <v>5689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3477544.92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 t="s">
        <v>30</v>
      </c>
      <c r="P7" s="3" t="n">
        <v>8468854.53000019</v>
      </c>
      <c r="Q7" s="3" t="n">
        <v>4991309.60669985</v>
      </c>
      <c r="R7" s="3" t="n">
        <v>1.6921437844365</v>
      </c>
      <c r="S7" s="3" t="n">
        <v>79</v>
      </c>
      <c r="T7" s="3" t="n">
        <v>-169476.092199898</v>
      </c>
      <c r="U7" s="3" t="n">
        <v>1</v>
      </c>
      <c r="V7" s="3" t="s">
        <v>26</v>
      </c>
      <c r="W7" s="3" t="n">
        <v>0</v>
      </c>
      <c r="X7" s="3" t="n">
        <v>0</v>
      </c>
      <c r="Y7" s="3" t="n">
        <v>0</v>
      </c>
      <c r="Z7" s="3" t="s">
        <v>29</v>
      </c>
    </row>
    <row r="8" customFormat="false" ht="12.8" hidden="false" customHeight="false" outlineLevel="0" collapsed="false">
      <c r="A8" s="4" t="n">
        <v>2021</v>
      </c>
      <c r="B8" s="4" t="n">
        <v>5304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69126.99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 t="s">
        <v>31</v>
      </c>
      <c r="P8" s="3" t="n">
        <v>156154.688999999</v>
      </c>
      <c r="Q8" s="3" t="n">
        <v>87027.7005000003</v>
      </c>
      <c r="R8" s="3" t="n">
        <v>1.89626322957643</v>
      </c>
      <c r="S8" s="3" t="n">
        <v>0</v>
      </c>
      <c r="T8" s="3" t="n">
        <v>0</v>
      </c>
      <c r="U8" s="3" t="n">
        <v>5</v>
      </c>
      <c r="V8" s="3" t="s">
        <v>26</v>
      </c>
      <c r="W8" s="3" t="n">
        <v>0</v>
      </c>
      <c r="X8" s="3" t="n">
        <v>0</v>
      </c>
      <c r="Y8" s="3" t="n">
        <v>0</v>
      </c>
      <c r="Z8" s="3" t="s">
        <v>29</v>
      </c>
    </row>
    <row r="9" customFormat="false" ht="12.8" hidden="false" customHeight="false" outlineLevel="0" collapsed="false">
      <c r="A9" s="4" t="n">
        <v>2022</v>
      </c>
      <c r="B9" s="4" t="n">
        <v>7132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92660.11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3" t="s">
        <v>31</v>
      </c>
      <c r="P9" s="3" t="n">
        <v>209263.928099994</v>
      </c>
      <c r="Q9" s="3" t="n">
        <v>116603.814600002</v>
      </c>
      <c r="R9" s="3" t="n">
        <v>1.88845742716933</v>
      </c>
      <c r="S9" s="3" t="n">
        <v>1828</v>
      </c>
      <c r="T9" s="3" t="n">
        <v>23533.1249999935</v>
      </c>
      <c r="U9" s="3" t="n">
        <v>2</v>
      </c>
      <c r="V9" s="3" t="s">
        <v>26</v>
      </c>
      <c r="W9" s="3" t="n">
        <v>0</v>
      </c>
      <c r="X9" s="3" t="n">
        <v>0</v>
      </c>
      <c r="Y9" s="3" t="n">
        <v>0</v>
      </c>
      <c r="Z9" s="3" t="s">
        <v>29</v>
      </c>
    </row>
    <row r="10" customFormat="false" ht="12.8" hidden="false" customHeight="false" outlineLevel="0" collapsed="false">
      <c r="A10" s="4" t="n">
        <v>2021</v>
      </c>
      <c r="B10" s="1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3" t="s">
        <v>26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s">
        <v>32</v>
      </c>
      <c r="W10" s="3" t="n">
        <v>864233</v>
      </c>
      <c r="X10" s="3" t="n">
        <v>3211651.83251283</v>
      </c>
      <c r="Y10" s="3" t="n">
        <v>284.275128347168</v>
      </c>
      <c r="Z10" s="3" t="s">
        <v>33</v>
      </c>
    </row>
    <row r="11" customFormat="false" ht="12.8" hidden="false" customHeight="false" outlineLevel="0" collapsed="false">
      <c r="A11" s="4" t="n">
        <v>2021</v>
      </c>
      <c r="B11" s="1" t="n">
        <v>0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3" t="s">
        <v>26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s">
        <v>34</v>
      </c>
      <c r="W11" s="3" t="n">
        <v>2218218</v>
      </c>
      <c r="X11" s="3" t="n">
        <v>1781554.47393563</v>
      </c>
      <c r="Y11" s="3" t="n">
        <v>190.12575110637</v>
      </c>
      <c r="Z11" s="3" t="s">
        <v>33</v>
      </c>
    </row>
    <row r="12" customFormat="false" ht="12.8" hidden="false" customHeight="false" outlineLevel="0" collapsed="false">
      <c r="A12" s="4" t="n">
        <v>2021</v>
      </c>
      <c r="B12" s="1" t="n">
        <v>0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3" t="s">
        <v>26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s">
        <v>35</v>
      </c>
      <c r="W12" s="3" t="n">
        <v>1249024</v>
      </c>
      <c r="X12" s="3" t="n">
        <v>4270567.72329797</v>
      </c>
      <c r="Y12" s="3" t="n">
        <v>375.741416680663</v>
      </c>
      <c r="Z12" s="3" t="s">
        <v>33</v>
      </c>
    </row>
    <row r="13" customFormat="false" ht="12.8" hidden="false" customHeight="false" outlineLevel="0" collapsed="false">
      <c r="A13" s="4" t="n">
        <v>2022</v>
      </c>
      <c r="B13" s="1" t="n">
        <v>0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3" t="s">
        <v>26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s">
        <v>32</v>
      </c>
      <c r="W13" s="3" t="n">
        <v>1353420</v>
      </c>
      <c r="X13" s="3" t="n">
        <v>3218911.38403874</v>
      </c>
      <c r="Y13" s="3" t="n">
        <v>215.69839258202</v>
      </c>
      <c r="Z13" s="3" t="s">
        <v>33</v>
      </c>
    </row>
    <row r="14" customFormat="false" ht="12.8" hidden="false" customHeight="false" outlineLevel="0" collapsed="false">
      <c r="A14" s="4" t="n">
        <v>2022</v>
      </c>
      <c r="B14" s="1" t="n">
        <v>0</v>
      </c>
      <c r="C14" s="2" t="n">
        <v>0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3" t="s">
        <v>26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s">
        <v>34</v>
      </c>
      <c r="W14" s="3" t="n">
        <v>3496046</v>
      </c>
      <c r="X14" s="3" t="n">
        <v>3293496.74615632</v>
      </c>
      <c r="Y14" s="3" t="n">
        <v>175.669374322156</v>
      </c>
      <c r="Z14" s="3" t="s">
        <v>33</v>
      </c>
    </row>
    <row r="15" customFormat="false" ht="12.8" hidden="false" customHeight="false" outlineLevel="0" collapsed="false">
      <c r="A15" s="4" t="n">
        <v>2022</v>
      </c>
      <c r="B15" s="1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3" t="s">
        <v>26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s">
        <v>35</v>
      </c>
      <c r="W15" s="3" t="n">
        <v>1944835</v>
      </c>
      <c r="X15" s="3" t="n">
        <v>34930.8751287839</v>
      </c>
      <c r="Y15" s="3" t="n">
        <v>253.814111575181</v>
      </c>
      <c r="Z15" s="3" t="s">
        <v>33</v>
      </c>
    </row>
    <row r="20" customFormat="false" ht="12.8" hidden="false" customHeight="false" outlineLevel="0" collapsed="false">
      <c r="B20" s="4"/>
    </row>
    <row r="50" customFormat="false" ht="12.8" hidden="false" customHeight="false" outlineLevel="0" collapsed="false">
      <c r="B50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4" activeCellId="0" sqref="H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.98"/>
    <col collapsed="false" customWidth="true" hidden="false" outlineLevel="0" max="2" min="2" style="0" width="13.95"/>
    <col collapsed="false" customWidth="true" hidden="false" outlineLevel="0" max="3" min="3" style="0" width="14.51"/>
    <col collapsed="false" customWidth="true" hidden="false" outlineLevel="0" max="4" min="4" style="0" width="24.25"/>
    <col collapsed="false" customWidth="true" hidden="false" outlineLevel="0" max="5" min="5" style="0" width="21.32"/>
    <col collapsed="false" customWidth="true" hidden="false" outlineLevel="0" max="6" min="6" style="0" width="16.31"/>
    <col collapsed="false" customWidth="true" hidden="false" outlineLevel="0" max="7" min="7" style="0" width="22.44"/>
    <col collapsed="false" customWidth="true" hidden="false" outlineLevel="0" max="8" min="8" style="0" width="18.41"/>
    <col collapsed="false" customWidth="true" hidden="false" outlineLevel="0" max="9" min="9" style="0" width="16.88"/>
    <col collapsed="false" customWidth="true" hidden="false" outlineLevel="0" max="10" min="10" style="0" width="17.29"/>
  </cols>
  <sheetData>
    <row r="1" customFormat="false" ht="12.8" hidden="false" customHeight="false" outlineLevel="0" collapsed="false">
      <c r="A1" s="7" t="s">
        <v>14</v>
      </c>
      <c r="B1" s="8" t="s">
        <v>36</v>
      </c>
    </row>
    <row r="2" customFormat="false" ht="12.8" hidden="false" customHeight="false" outlineLevel="0" collapsed="false">
      <c r="A2" s="7" t="s">
        <v>21</v>
      </c>
      <c r="B2" s="8" t="s">
        <v>36</v>
      </c>
    </row>
    <row r="3" customFormat="false" ht="12.8" hidden="false" customHeight="false" outlineLevel="0" collapsed="false">
      <c r="A3" s="7" t="s">
        <v>25</v>
      </c>
      <c r="B3" s="8" t="s">
        <v>36</v>
      </c>
    </row>
    <row r="5" customFormat="false" ht="12.8" hidden="false" customHeight="false" outlineLevel="0" collapsed="false">
      <c r="A5" s="9"/>
      <c r="B5" s="10" t="s">
        <v>37</v>
      </c>
      <c r="C5" s="11"/>
      <c r="D5" s="11"/>
      <c r="E5" s="11"/>
      <c r="F5" s="11"/>
      <c r="G5" s="11"/>
      <c r="H5" s="11"/>
      <c r="I5" s="11"/>
      <c r="J5" s="12"/>
    </row>
    <row r="6" customFormat="false" ht="12.8" hidden="false" customHeight="false" outlineLevel="0" collapsed="false">
      <c r="A6" s="13" t="s">
        <v>0</v>
      </c>
      <c r="B6" s="14" t="s">
        <v>38</v>
      </c>
      <c r="C6" s="15" t="s">
        <v>39</v>
      </c>
      <c r="D6" s="15" t="s">
        <v>40</v>
      </c>
      <c r="E6" s="15" t="s">
        <v>41</v>
      </c>
      <c r="F6" s="15" t="s">
        <v>42</v>
      </c>
      <c r="G6" s="15" t="s">
        <v>43</v>
      </c>
      <c r="H6" s="15" t="s">
        <v>44</v>
      </c>
      <c r="I6" s="15" t="s">
        <v>45</v>
      </c>
      <c r="J6" s="16" t="s">
        <v>46</v>
      </c>
    </row>
    <row r="7" customFormat="false" ht="12.8" hidden="false" customHeight="false" outlineLevel="0" collapsed="false">
      <c r="A7" s="17" t="n">
        <v>2021</v>
      </c>
      <c r="B7" s="18" t="n">
        <v>72460</v>
      </c>
      <c r="C7" s="19"/>
      <c r="D7" s="20" t="n">
        <v>6.07857142857143</v>
      </c>
      <c r="E7" s="20" t="n">
        <v>0</v>
      </c>
      <c r="F7" s="21" t="n">
        <v>0</v>
      </c>
      <c r="G7" s="21" t="n">
        <v>121.448899447743</v>
      </c>
      <c r="H7" s="20" t="n">
        <v>0</v>
      </c>
      <c r="I7" s="20" t="n">
        <v>0</v>
      </c>
      <c r="J7" s="22" t="n">
        <v>0</v>
      </c>
    </row>
    <row r="8" customFormat="false" ht="12.8" hidden="false" customHeight="false" outlineLevel="0" collapsed="false">
      <c r="A8" s="23" t="n">
        <v>2022</v>
      </c>
      <c r="B8" s="24" t="n">
        <v>90628</v>
      </c>
      <c r="C8" s="25" t="n">
        <v>-0.0205095658740228</v>
      </c>
      <c r="D8" s="26" t="n">
        <v>6.04857142857143</v>
      </c>
      <c r="E8" s="26" t="n">
        <v>-0.305714285714286</v>
      </c>
      <c r="F8" s="27" t="n">
        <v>0</v>
      </c>
      <c r="G8" s="27" t="n">
        <v>92.1688397827653</v>
      </c>
      <c r="H8" s="26" t="n">
        <v>-2.14</v>
      </c>
      <c r="I8" s="26" t="n">
        <v>25.07</v>
      </c>
      <c r="J8" s="28" t="n">
        <v>-78055.1521999448</v>
      </c>
    </row>
    <row r="9" customFormat="false" ht="12.8" hidden="false" customHeight="false" outlineLevel="0" collapsed="false">
      <c r="A9" s="29" t="s">
        <v>47</v>
      </c>
      <c r="B9" s="30" t="n">
        <v>163088</v>
      </c>
      <c r="C9" s="31"/>
      <c r="D9" s="32" t="n">
        <v>6.06357142857143</v>
      </c>
      <c r="E9" s="32" t="n">
        <v>-0.152857142857143</v>
      </c>
      <c r="F9" s="33" t="n">
        <v>0</v>
      </c>
      <c r="G9" s="33" t="n">
        <v>106.808869615254</v>
      </c>
      <c r="H9" s="32" t="n">
        <v>-2.14</v>
      </c>
      <c r="I9" s="32" t="n">
        <v>25.07</v>
      </c>
      <c r="J9" s="34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2026-04-29T10:27:39Z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