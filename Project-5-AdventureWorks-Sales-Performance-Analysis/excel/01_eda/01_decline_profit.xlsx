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_Index" sheetId="1" state="visible" r:id="rId3"/>
    <sheet name="Viz_Dashboard" sheetId="2" state="visible" r:id="rId4"/>
    <sheet name="Data_For_Viz" sheetId="3" state="visible" r:id="rId5"/>
    <sheet name="All_Data" sheetId="4" state="visible" r:id="rId6"/>
    <sheet name="Pivot Table_All_Data_1" sheetId="5" state="visible" r:id="rId7"/>
    <sheet name="01_Top3_Decliners" sheetId="6" state="visible" r:id="rId8"/>
    <sheet name="02_Pacific_Crisis" sheetId="7" state="visible" r:id="rId9"/>
    <sheet name="03_YoY_Negative" sheetId="8" state="visible" r:id="rId10"/>
    <sheet name="04_Bikes_Drivers" sheetId="9" state="visible" r:id="rId11"/>
    <sheet name="05_High_Returns" sheetId="10" state="visible" r:id="rId12"/>
    <sheet name="06_Top2_2022_Fix" sheetId="11" state="visible" r:id="rId13"/>
  </sheets>
  <calcPr iterateCount="100" refMode="A1" iterate="false" iterateDelta="0.001"/>
  <pivotCaches>
    <pivotCache cacheId="1" r:id="rId1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<sst xmlns="http://schemas.openxmlformats.org/spreadsheetml/2006/main" count="227" uniqueCount="103">
  <si>
    <t xml:space="preserve">AdventureWorks Profit Decline EDA - Dashboard Index</t>
  </si>
  <si>
    <t xml:space="preserve">No</t>
  </si>
  <si>
    <t xml:space="preserve">Sheet Name</t>
  </si>
  <si>
    <t xml:space="preserve">Insight</t>
  </si>
  <si>
    <t xml:space="preserve">Impact</t>
  </si>
  <si>
    <t xml:space="preserve">Action</t>
  </si>
  <si>
    <t xml:space="preserve">Status</t>
  </si>
  <si>
    <t xml:space="preserve">01_Top3_Decliners</t>
  </si>
  <si>
    <t xml:space="preserve">Bikes rank1: Profit delta -Rp169K (margin ↓1.70→1.69)</t>
  </si>
  <si>
    <t xml:space="preserve">60% decline</t>
  </si>
  <si>
    <t xml:space="preserve">Review and raise the selling price of Bikes; reduce production cost</t>
  </si>
  <si>
    <t xml:space="preserve">High</t>
  </si>
  <si>
    <t xml:space="preserve">02_Pacific_Crisis</t>
  </si>
  <si>
    <t xml:space="preserve">net_sales 2022 Rp34K (vs Rp4.2jt 2021), returns 253/unit</t>
  </si>
  <si>
    <t xml:space="preserve">30% regional loss</t>
  </si>
  <si>
    <t xml:space="preserve">Quality control &amp; no-return policy Pacific</t>
  </si>
  <si>
    <t xml:space="preserve">03_YoY_Negative</t>
  </si>
  <si>
    <t xml:space="preserve">Overall profit -2.14% despite volume +25%</t>
  </si>
  <si>
    <t xml:space="preserve">Hypothesis confirmed: Margin/returns issue</t>
  </si>
  <si>
    <t xml:space="preserve">Cross-check all categories</t>
  </si>
  <si>
    <t xml:space="preserve">Medium</t>
  </si>
  <si>
    <t xml:space="preserve">04_Bikes_Drivers</t>
  </si>
  <si>
    <t xml:space="preserve">Volume +79 but profit -169K, margin erosion</t>
  </si>
  <si>
    <t xml:space="preserve">Primary driver (+Rp8jt revenue hilang)</t>
  </si>
  <si>
    <t xml:space="preserve">Rise the price of Bikes by 2-3%</t>
  </si>
  <si>
    <t xml:space="preserve">05_High_Returns</t>
  </si>
  <si>
    <t xml:space="preserve">Pacific is always &gt;250/unit (highest)</t>
  </si>
  <si>
    <t xml:space="preserve">Returns erode 8% profit</t>
  </si>
  <si>
    <t xml:space="preserve">Targeted promo/inspection</t>
  </si>
  <si>
    <t xml:space="preserve">06_Top2_2022_Fix</t>
  </si>
  <si>
    <t xml:space="preserve">Bikes down vs Clothing up +23K</t>
  </si>
  <si>
    <t xml:space="preserve">Selective: Fix Bikes, scale Clothing</t>
  </si>
  <si>
    <t xml:space="preserve">Portfolio rebalance</t>
  </si>
  <si>
    <t xml:space="preserve">Low-Medium</t>
  </si>
  <si>
    <t xml:space="preserve">Profit Decline 2022 Viz</t>
  </si>
  <si>
    <t xml:space="preserve">Metric</t>
  </si>
  <si>
    <t xml:space="preserve">YoY_Delta</t>
  </si>
  <si>
    <t xml:space="preserve">YoY_Pct</t>
  </si>
  <si>
    <t xml:space="preserve">Category</t>
  </si>
  <si>
    <t xml:space="preserve">Profit_Delta</t>
  </si>
  <si>
    <t xml:space="preserve">Rank</t>
  </si>
  <si>
    <t xml:space="preserve">Continent</t>
  </si>
  <si>
    <t xml:space="preserve">net_sales_2022</t>
  </si>
  <si>
    <t xml:space="preserve">returns_per_qty</t>
  </si>
  <si>
    <t xml:space="preserve">Volume (Qty)</t>
  </si>
  <si>
    <t xml:space="preserve">Accessories</t>
  </si>
  <si>
    <t xml:space="preserve">Europe</t>
  </si>
  <si>
    <t xml:space="preserve">Profit (Net)</t>
  </si>
  <si>
    <t xml:space="preserve">Bikes</t>
  </si>
  <si>
    <t xml:space="preserve">North America</t>
  </si>
  <si>
    <t xml:space="preserve">Margin %</t>
  </si>
  <si>
    <t xml:space="preserve">Clothing</t>
  </si>
  <si>
    <t xml:space="preserve">Pacific</t>
  </si>
  <si>
    <t xml:space="preserve">year</t>
  </si>
  <si>
    <t xml:space="preserve">total_qty</t>
  </si>
  <si>
    <t xml:space="preserve">gross_revenue</t>
  </si>
  <si>
    <t xml:space="preserve">gross_cost</t>
  </si>
  <si>
    <t xml:space="preserve">gross_profit</t>
  </si>
  <si>
    <t xml:space="preserve">returns_qty</t>
  </si>
  <si>
    <t xml:space="preserve">returns_value</t>
  </si>
  <si>
    <t xml:space="preserve">net_qty</t>
  </si>
  <si>
    <t xml:space="preserve">net_profit</t>
  </si>
  <si>
    <t xml:space="preserve">prev_qty</t>
  </si>
  <si>
    <t xml:space="preserve">prev_profit</t>
  </si>
  <si>
    <t xml:space="preserve">qty_yoy_pct</t>
  </si>
  <si>
    <t xml:space="preserve">profit_yoy_pct</t>
  </si>
  <si>
    <t xml:space="preserve">gross_margin_pct</t>
  </si>
  <si>
    <t xml:space="preserve">categoryname</t>
  </si>
  <si>
    <t xml:space="preserve">revenue</t>
  </si>
  <si>
    <t xml:space="preserve">cost</t>
  </si>
  <si>
    <t xml:space="preserve">avg_margin_ratio</t>
  </si>
  <si>
    <t xml:space="preserve">qty_delta</t>
  </si>
  <si>
    <t xml:space="preserve">profit_delta</t>
  </si>
  <si>
    <t xml:space="preserve">decline_rank</t>
  </si>
  <si>
    <t xml:space="preserve">continent</t>
  </si>
  <si>
    <t xml:space="preserve">sales_qty</t>
  </si>
  <si>
    <t xml:space="preserve">net_sales_value</t>
  </si>
  <si>
    <t xml:space="preserve">source</t>
  </si>
  <si>
    <t xml:space="preserve">0</t>
  </si>
  <si>
    <t xml:space="preserve">Overall</t>
  </si>
  <si>
    <t xml:space="preserve">Categories</t>
  </si>
  <si>
    <t xml:space="preserve">Territory</t>
  </si>
  <si>
    <t xml:space="preserve">- all -</t>
  </si>
  <si>
    <t xml:space="preserve">Data</t>
  </si>
  <si>
    <t xml:space="preserve">Sum - total_qty</t>
  </si>
  <si>
    <t xml:space="preserve">Sum - net_profit</t>
  </si>
  <si>
    <t xml:space="preserve">Average - gross_margin_pct</t>
  </si>
  <si>
    <t xml:space="preserve">Average - profit_yoy_pct</t>
  </si>
  <si>
    <t xml:space="preserve">Min - decline_rank</t>
  </si>
  <si>
    <t xml:space="preserve">Average - returns_per_qty</t>
  </si>
  <si>
    <t xml:space="preserve">Sum - qty_yoy_pct</t>
  </si>
  <si>
    <t xml:space="preserve">Sum - profit_delta</t>
  </si>
  <si>
    <t xml:space="preserve">Total Result</t>
  </si>
  <si>
    <t xml:space="preserve">contintent</t>
  </si>
  <si>
    <t xml:space="preserve">all</t>
  </si>
  <si>
    <t xml:space="preserve">&lt;=3</t>
  </si>
  <si>
    <t xml:space="preserve">Sum - net_sales_value</t>
  </si>
  <si>
    <t xml:space="preserve">Avg profit_yoy_pct</t>
  </si>
  <si>
    <t xml:space="preserve">categiryname</t>
  </si>
  <si>
    <t xml:space="preserve">Sum - avg_margin_ratio</t>
  </si>
  <si>
    <t xml:space="preserve">&gt; 200</t>
  </si>
  <si>
    <t xml:space="preserve">Total Average - returns_per_qty</t>
  </si>
  <si>
    <t xml:space="preserve">&lt;=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</si>
</sst>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%"/>
    <numFmt numFmtId="167" formatCode="0.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3"/>
      <name val="Arial"/>
      <family val="2"/>
    </font>
    <font>
      <sz val="10"/>
      <name val="Arial"/>
      <family val="2"/>
    </font>
    <font>
      <b val="true"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158466"/>
        <bgColor rgb="FF00808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5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8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6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6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8" xfId="24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1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9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31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2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8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24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3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7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2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3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158466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4D77"/>
      <rgbColor rgb="FF339966"/>
      <rgbColor rgb="FF003300"/>
      <rgbColor rgb="FF333300"/>
      <rgbColor rgb="FFA33E0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uFillTx/>
                <a:latin typeface="Arial"/>
              </a:rPr>
              <a:t>Decline Drivers: Bikes -169K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Data_For_Viz!$G$1</c:f>
              <c:strCache>
                <c:ptCount val="1"/>
                <c:pt idx="0">
                  <c:v>Profit_Delta</c:v>
                </c:pt>
              </c:strCache>
            </c:strRef>
          </c:tx>
          <c:spPr>
            <a:solidFill>
              <a:srgbClr val="004d77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d7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Lbls>
            <c:dLbl>
              <c:idx val="0"/>
              <c:numFmt formatCode="0" sourceLinked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0" sourceLinked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Data_For_Viz!$F$2:$F$4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Data_For_Viz!$G$2:$G$4</c:f>
              <c:numCache>
                <c:formatCode>0</c:formatCode>
                <c:ptCount val="3"/>
                <c:pt idx="0">
                  <c:v>67888</c:v>
                </c:pt>
                <c:pt idx="1">
                  <c:v>-169476</c:v>
                </c:pt>
                <c:pt idx="2">
                  <c:v>23533</c:v>
                </c:pt>
              </c:numCache>
            </c:numRef>
          </c:val>
        </c:ser>
        <c:gapWidth val="100"/>
        <c:overlap val="0"/>
        <c:axId val="41136131"/>
        <c:axId val="62277710"/>
      </c:barChart>
      <c:catAx>
        <c:axId val="411361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277710"/>
        <c:crosses val="autoZero"/>
        <c:auto val="1"/>
        <c:lblAlgn val="ctr"/>
        <c:lblOffset val="100"/>
        <c:noMultiLvlLbl val="0"/>
      </c:catAx>
      <c:valAx>
        <c:axId val="622777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1361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Arial"/>
              </a:rPr>
              <a:t>Volume ↑25% vs Profit ↓2%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Data_For_Viz!$B$1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18a303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Data_For_Viz!$A$2:$A$3</c:f>
              <c:strCache>
                <c:ptCount val="2"/>
                <c:pt idx="0">
                  <c:v>Volume (Qty)</c:v>
                </c:pt>
                <c:pt idx="1">
                  <c:v>Profit (Net)</c:v>
                </c:pt>
              </c:strCache>
            </c:strRef>
          </c:cat>
          <c:val>
            <c:numRef>
              <c:f>Data_For_Viz!$B$2:$B$3</c:f>
              <c:numCache>
                <c:formatCode>General</c:formatCode>
                <c:ptCount val="2"/>
                <c:pt idx="0">
                  <c:v>36230</c:v>
                </c:pt>
                <c:pt idx="1">
                  <c:v>3690735</c:v>
                </c:pt>
              </c:numCache>
            </c:numRef>
          </c:val>
        </c:ser>
        <c:ser>
          <c:idx val="1"/>
          <c:order val="1"/>
          <c:tx>
            <c:strRef>
              <c:f>Data_For_Viz!$C$1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369a3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Data_For_Viz!$A$2:$A$3</c:f>
              <c:strCache>
                <c:ptCount val="2"/>
                <c:pt idx="0">
                  <c:v>Volume (Qty)</c:v>
                </c:pt>
                <c:pt idx="1">
                  <c:v>Profit (Net)</c:v>
                </c:pt>
              </c:strCache>
            </c:strRef>
          </c:cat>
          <c:val>
            <c:numRef>
              <c:f>Data_For_Viz!$C$2:$C$3</c:f>
              <c:numCache>
                <c:formatCode>General</c:formatCode>
                <c:ptCount val="2"/>
                <c:pt idx="0">
                  <c:v>45314</c:v>
                </c:pt>
                <c:pt idx="1">
                  <c:v>3611731</c:v>
                </c:pt>
              </c:numCache>
            </c:numRef>
          </c:val>
        </c:ser>
        <c:gapWidth val="100"/>
        <c:overlap val="0"/>
        <c:axId val="8905746"/>
        <c:axId val="65452323"/>
      </c:barChart>
      <c:lineChart>
        <c:grouping val="standard"/>
        <c:varyColors val="0"/>
        <c:ser>
          <c:idx val="2"/>
          <c:order val="2"/>
          <c:tx>
            <c:strRef>
              <c:f>Data_For_Viz!$E$1</c:f>
              <c:strCache>
                <c:ptCount val="1"/>
                <c:pt idx="0">
                  <c:v>YoY_Pct</c:v>
                </c:pt>
              </c:strCache>
            </c:strRef>
          </c:tx>
          <c:spPr>
            <a:solidFill>
              <a:srgbClr val="a33e03"/>
            </a:solidFill>
            <a:ln w="28800">
              <a:solidFill>
                <a:srgbClr val="a33e03"/>
              </a:solidFill>
              <a:round/>
            </a:ln>
          </c:spPr>
          <c:marker>
            <c:symbol val="none"/>
          </c:marker>
          <c:dLbls>
            <c:numFmt formatCode="0.00%" sourceLinked="1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Data_For_Viz!$A$2:$A$3</c:f>
              <c:strCache>
                <c:ptCount val="2"/>
                <c:pt idx="0">
                  <c:v>Volume (Qty)</c:v>
                </c:pt>
                <c:pt idx="1">
                  <c:v>Profit (Net)</c:v>
                </c:pt>
              </c:strCache>
            </c:strRef>
          </c:cat>
          <c:val>
            <c:numRef>
              <c:f>Data_For_Viz!$E$2:$E$3</c:f>
              <c:numCache>
                <c:formatCode>0.00%</c:formatCode>
                <c:ptCount val="2"/>
                <c:pt idx="0">
                  <c:v>0.2507</c:v>
                </c:pt>
                <c:pt idx="1">
                  <c:v>-0.0214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21995"/>
        <c:axId val="93402037"/>
      </c:lineChart>
      <c:catAx>
        <c:axId val="89057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452323"/>
        <c:crosses val="autoZero"/>
        <c:auto val="1"/>
        <c:lblAlgn val="ctr"/>
        <c:lblOffset val="100"/>
        <c:noMultiLvlLbl val="0"/>
      </c:catAx>
      <c:valAx>
        <c:axId val="654523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905746"/>
        <c:crosses val="autoZero"/>
        <c:crossBetween val="between"/>
      </c:valAx>
      <c:catAx>
        <c:axId val="952199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3402037"/>
        <c:auto val="1"/>
        <c:lblAlgn val="ctr"/>
        <c:lblOffset val="100"/>
        <c:noMultiLvlLbl val="0"/>
      </c:catAx>
      <c:valAx>
        <c:axId val="9340203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21995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198360</xdr:colOff>
      <xdr:row>1</xdr:row>
      <xdr:rowOff>37080</xdr:rowOff>
    </xdr:from>
    <xdr:to>
      <xdr:col>14</xdr:col>
      <xdr:colOff>39600</xdr:colOff>
      <xdr:row>20</xdr:row>
      <xdr:rowOff>59760</xdr:rowOff>
    </xdr:to>
    <xdr:graphicFrame>
      <xdr:nvGraphicFramePr>
        <xdr:cNvPr id="1" name=""/>
        <xdr:cNvGraphicFramePr/>
      </xdr:nvGraphicFramePr>
      <xdr:xfrm>
        <a:off x="5887800" y="317160"/>
        <a:ext cx="5531040" cy="311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45720</xdr:rowOff>
    </xdr:from>
    <xdr:to>
      <xdr:col>6</xdr:col>
      <xdr:colOff>792720</xdr:colOff>
      <xdr:row>20</xdr:row>
      <xdr:rowOff>146520</xdr:rowOff>
    </xdr:to>
    <xdr:graphicFrame>
      <xdr:nvGraphicFramePr>
        <xdr:cNvPr id="2" name=""/>
        <xdr:cNvGraphicFramePr/>
      </xdr:nvGraphicFramePr>
      <xdr:xfrm>
        <a:off x="0" y="325800"/>
        <a:ext cx="5669640" cy="318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" createdVersion="3">
  <cacheSource type="worksheet">
    <worksheetSource ref="A1:Z15" sheet="All_Data"/>
  </cacheSource>
  <cacheFields count="26"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total_qty" numFmtId="0">
      <sharedItems containsSemiMixedTypes="0" containsString="0" containsNumber="1" containsInteger="1" minValue="0" maxValue="45314" count="9">
        <n v="0"/>
        <n v="5304"/>
        <n v="5610"/>
        <n v="5689"/>
        <n v="7132"/>
        <n v="25316"/>
        <n v="32493"/>
        <n v="36230"/>
        <n v="45314"/>
      </sharedItems>
    </cacheField>
    <cacheField name="gross_revenue" numFmtId="0">
      <sharedItems containsSemiMixedTypes="0" containsString="0" containsNumber="1" minValue="0" maxValue="9324203.79" count="3">
        <n v="0"/>
        <n v="9185449.45"/>
        <n v="9324203.79"/>
      </sharedItems>
    </cacheField>
    <cacheField name="gross_cost" numFmtId="0">
      <sharedItems containsSemiMixedTypes="0" containsString="0" containsNumber="1" minValue="0" maxValue="5357119.66" count="3">
        <n v="0"/>
        <n v="5296420.47"/>
        <n v="5357119.66"/>
      </sharedItems>
    </cacheField>
    <cacheField name="gross_profit" numFmtId="0">
      <sharedItems containsSemiMixedTypes="0" containsString="0" containsNumber="1" minValue="0" maxValue="3967084.13" count="3">
        <n v="0"/>
        <n v="3889028.97"/>
        <n v="3967084.13"/>
      </sharedItems>
    </cacheField>
    <cacheField name="returns_qty" numFmtId="0">
      <sharedItems containsSemiMixedTypes="0" containsString="0" containsNumber="1" containsInteger="1" minValue="0" maxValue="972" count="3">
        <n v="0"/>
        <n v="770"/>
        <n v="972"/>
      </sharedItems>
    </cacheField>
    <cacheField name="returns_value" numFmtId="0">
      <sharedItems containsSemiMixedTypes="0" containsString="0" containsNumber="1" minValue="0" maxValue="277297.17" count="3">
        <n v="0"/>
        <n v="276348.93"/>
        <n v="277297.17"/>
      </sharedItems>
    </cacheField>
    <cacheField name="net_qty" numFmtId="0">
      <sharedItems containsSemiMixedTypes="0" containsString="0" containsNumber="1" containsInteger="1" minValue="0" maxValue="44342" count="3">
        <n v="0"/>
        <n v="35460"/>
        <n v="44342"/>
      </sharedItems>
    </cacheField>
    <cacheField name="net_profit" numFmtId="0">
      <sharedItems containsSemiMixedTypes="0" containsString="0" containsNumber="1" minValue="0" maxValue="3690735.2" count="9">
        <n v="0"/>
        <n v="69126.99"/>
        <n v="92660.11"/>
        <n v="250936.12"/>
        <n v="318823.94"/>
        <n v="3477544.92"/>
        <n v="3611731.81"/>
        <n v="3647021.02"/>
        <n v="3690735.2"/>
      </sharedItems>
    </cacheField>
    <cacheField name="prev_qty" numFmtId="0">
      <sharedItems containsSemiMixedTypes="0" containsString="0" containsNumber="1" containsInteger="1" minValue="0" maxValue="36230" count="2">
        <n v="0"/>
        <n v="36230"/>
      </sharedItems>
    </cacheField>
    <cacheField name="prev_profit" numFmtId="0">
      <sharedItems containsSemiMixedTypes="0" containsString="0" containsNumber="1" minValue="0" maxValue="3690735.2" count="2">
        <n v="0"/>
        <n v="3690735.2"/>
      </sharedItems>
    </cacheField>
    <cacheField name="qty_yoy_pct" numFmtId="0">
      <sharedItems containsSemiMixedTypes="0" containsString="0" containsNumber="1" minValue="0" maxValue="25.07" count="2">
        <n v="0"/>
        <n v="25.07"/>
      </sharedItems>
    </cacheField>
    <cacheField name="profit_yoy_pct" numFmtId="0">
      <sharedItems containsSemiMixedTypes="0" containsString="0" containsNumber="1" minValue="-2.14" maxValue="0" count="2">
        <n v="-2.14"/>
        <n v="0"/>
      </sharedItems>
    </cacheField>
    <cacheField name="gross_margin_pct" numFmtId="0">
      <sharedItems containsSemiMixedTypes="0" containsString="0" containsNumber="1" minValue="0" maxValue="42.55" count="3">
        <n v="0"/>
        <n v="42.34"/>
        <n v="42.55"/>
      </sharedItems>
    </cacheField>
    <cacheField name="categoryname" numFmtId="0">
      <sharedItems count="4">
        <s v="0"/>
        <s v="Accessories"/>
        <s v="Bikes"/>
        <s v="Clothing"/>
      </sharedItems>
    </cacheField>
    <cacheField name="revenue" numFmtId="0">
      <sharedItems containsSemiMixedTypes="0" containsString="0" containsNumber="1" minValue="0" maxValue="8768706.98490015" count="7">
        <n v="0"/>
        <n v="156154.688999999"/>
        <n v="209263.928099994"/>
        <n v="399342.117799956"/>
        <n v="507330.989199908"/>
        <n v="8468854.53000019"/>
        <n v="8768706.98490015"/>
      </sharedItems>
    </cacheField>
    <cacheField name="cost" numFmtId="0">
      <sharedItems containsSemiMixedTypes="0" containsString="0" containsNumber="1" minValue="0" maxValue="5121685.96939992" count="7">
        <n v="0"/>
        <n v="87027.7005000003"/>
        <n v="116603.814600002"/>
        <n v="148405.994799995"/>
        <n v="188507.051199988"/>
        <n v="4991309.60669985"/>
        <n v="5121685.96939992"/>
      </sharedItems>
    </cacheField>
    <cacheField name="avg_margin_ratio" numFmtId="0">
      <sharedItems containsSemiMixedTypes="0" containsString="0" containsNumber="1" minValue="0" maxValue="2.68828158743257" count="7">
        <n v="0"/>
        <n v="1.6921437844365"/>
        <n v="1.70568672635527"/>
        <n v="1.88845742716933"/>
        <n v="1.89626322957643"/>
        <n v="2.68812185758366"/>
        <n v="2.68828158743257"/>
      </sharedItems>
    </cacheField>
    <cacheField name="qty_delta" numFmtId="0">
      <sharedItems containsSemiMixedTypes="0" containsString="0" containsNumber="1" containsInteger="1" minValue="0" maxValue="7177" count="4">
        <n v="0"/>
        <n v="79"/>
        <n v="1828"/>
        <n v="7177"/>
      </sharedItems>
    </cacheField>
    <cacheField name="profit_delta" numFmtId="0">
      <sharedItems containsSemiMixedTypes="0" containsString="0" containsNumber="1" minValue="-169476.092199898" maxValue="67887.8149999597" count="4">
        <n v="-169476.092199898"/>
        <n v="0"/>
        <n v="23533.1249999935"/>
        <n v="67887.8149999597"/>
      </sharedItems>
    </cacheField>
    <cacheField name="decline_rank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continent" numFmtId="0">
      <sharedItems count="4">
        <s v="0"/>
        <s v="Europe"/>
        <s v="North America"/>
        <s v="Pacific"/>
      </sharedItems>
    </cacheField>
    <cacheField name="sales_qty" numFmtId="0">
      <sharedItems containsSemiMixedTypes="0" containsString="0" containsNumber="1" containsInteger="1" minValue="0" maxValue="3496046" count="7">
        <n v="0"/>
        <n v="864233"/>
        <n v="1249024"/>
        <n v="1353420"/>
        <n v="1944835"/>
        <n v="2218218"/>
        <n v="3496046"/>
      </sharedItems>
    </cacheField>
    <cacheField name="net_sales_value" numFmtId="0">
      <sharedItems containsSemiMixedTypes="0" containsString="0" containsNumber="1" minValue="0" maxValue="4270567.72329797" count="7">
        <n v="0"/>
        <n v="34930.8751287839"/>
        <n v="1781554.47393563"/>
        <n v="3211651.83251283"/>
        <n v="3218911.38403874"/>
        <n v="3293496.74615632"/>
        <n v="4270567.72329797"/>
      </sharedItems>
    </cacheField>
    <cacheField name="returns_per_qty" numFmtId="0">
      <sharedItems containsSemiMixedTypes="0" containsString="0" containsNumber="1" minValue="0" maxValue="375.741416680663" count="7">
        <n v="0"/>
        <n v="175.669374322156"/>
        <n v="190.12575110637"/>
        <n v="215.69839258202"/>
        <n v="253.814111575181"/>
        <n v="284.275128347168"/>
        <n v="375.741416680663"/>
      </sharedItems>
    </cacheField>
    <cacheField name="source" numFmtId="0">
      <sharedItems count="3">
        <s v="Categories"/>
        <s v="Overall"/>
        <s v="Territor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7"/>
    <x v="2"/>
    <x v="2"/>
    <x v="2"/>
    <x v="1"/>
    <x v="1"/>
    <x v="1"/>
    <x v="8"/>
    <x v="0"/>
    <x v="0"/>
    <x v="0"/>
    <x v="1"/>
    <x v="2"/>
    <x v="0"/>
    <x v="0"/>
    <x v="0"/>
    <x v="0"/>
    <x v="0"/>
    <x v="1"/>
    <x v="0"/>
    <x v="0"/>
    <x v="0"/>
    <x v="0"/>
    <x v="0"/>
    <x v="1"/>
  </r>
  <r>
    <x v="1"/>
    <x v="8"/>
    <x v="1"/>
    <x v="1"/>
    <x v="1"/>
    <x v="2"/>
    <x v="2"/>
    <x v="2"/>
    <x v="6"/>
    <x v="1"/>
    <x v="1"/>
    <x v="1"/>
    <x v="0"/>
    <x v="1"/>
    <x v="0"/>
    <x v="0"/>
    <x v="0"/>
    <x v="0"/>
    <x v="0"/>
    <x v="1"/>
    <x v="0"/>
    <x v="0"/>
    <x v="0"/>
    <x v="0"/>
    <x v="0"/>
    <x v="1"/>
  </r>
  <r>
    <x v="0"/>
    <x v="5"/>
    <x v="0"/>
    <x v="0"/>
    <x v="0"/>
    <x v="0"/>
    <x v="0"/>
    <x v="0"/>
    <x v="3"/>
    <x v="0"/>
    <x v="0"/>
    <x v="0"/>
    <x v="1"/>
    <x v="0"/>
    <x v="1"/>
    <x v="3"/>
    <x v="3"/>
    <x v="5"/>
    <x v="0"/>
    <x v="1"/>
    <x v="6"/>
    <x v="0"/>
    <x v="0"/>
    <x v="0"/>
    <x v="0"/>
    <x v="0"/>
  </r>
  <r>
    <x v="1"/>
    <x v="6"/>
    <x v="0"/>
    <x v="0"/>
    <x v="0"/>
    <x v="0"/>
    <x v="0"/>
    <x v="0"/>
    <x v="4"/>
    <x v="0"/>
    <x v="0"/>
    <x v="0"/>
    <x v="1"/>
    <x v="0"/>
    <x v="1"/>
    <x v="4"/>
    <x v="4"/>
    <x v="6"/>
    <x v="3"/>
    <x v="3"/>
    <x v="3"/>
    <x v="0"/>
    <x v="0"/>
    <x v="0"/>
    <x v="0"/>
    <x v="0"/>
  </r>
  <r>
    <x v="0"/>
    <x v="2"/>
    <x v="0"/>
    <x v="0"/>
    <x v="0"/>
    <x v="0"/>
    <x v="0"/>
    <x v="0"/>
    <x v="7"/>
    <x v="0"/>
    <x v="0"/>
    <x v="0"/>
    <x v="1"/>
    <x v="0"/>
    <x v="2"/>
    <x v="6"/>
    <x v="6"/>
    <x v="2"/>
    <x v="0"/>
    <x v="1"/>
    <x v="4"/>
    <x v="0"/>
    <x v="0"/>
    <x v="0"/>
    <x v="0"/>
    <x v="0"/>
  </r>
  <r>
    <x v="1"/>
    <x v="3"/>
    <x v="0"/>
    <x v="0"/>
    <x v="0"/>
    <x v="0"/>
    <x v="0"/>
    <x v="0"/>
    <x v="5"/>
    <x v="0"/>
    <x v="0"/>
    <x v="0"/>
    <x v="1"/>
    <x v="0"/>
    <x v="2"/>
    <x v="5"/>
    <x v="5"/>
    <x v="1"/>
    <x v="1"/>
    <x v="0"/>
    <x v="1"/>
    <x v="0"/>
    <x v="0"/>
    <x v="0"/>
    <x v="0"/>
    <x v="0"/>
  </r>
  <r>
    <x v="0"/>
    <x v="1"/>
    <x v="0"/>
    <x v="0"/>
    <x v="0"/>
    <x v="0"/>
    <x v="0"/>
    <x v="0"/>
    <x v="1"/>
    <x v="0"/>
    <x v="0"/>
    <x v="0"/>
    <x v="1"/>
    <x v="0"/>
    <x v="3"/>
    <x v="1"/>
    <x v="1"/>
    <x v="4"/>
    <x v="0"/>
    <x v="1"/>
    <x v="5"/>
    <x v="0"/>
    <x v="0"/>
    <x v="0"/>
    <x v="0"/>
    <x v="0"/>
  </r>
  <r>
    <x v="1"/>
    <x v="4"/>
    <x v="0"/>
    <x v="0"/>
    <x v="0"/>
    <x v="0"/>
    <x v="0"/>
    <x v="0"/>
    <x v="2"/>
    <x v="0"/>
    <x v="0"/>
    <x v="0"/>
    <x v="1"/>
    <x v="0"/>
    <x v="3"/>
    <x v="2"/>
    <x v="2"/>
    <x v="3"/>
    <x v="2"/>
    <x v="2"/>
    <x v="2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1"/>
    <x v="1"/>
    <x v="3"/>
    <x v="5"/>
    <x v="2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2"/>
    <x v="5"/>
    <x v="2"/>
    <x v="2"/>
    <x v="2"/>
  </r>
  <r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3"/>
    <x v="2"/>
    <x v="6"/>
    <x v="6"/>
    <x v="2"/>
  </r>
  <r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1"/>
    <x v="3"/>
    <x v="4"/>
    <x v="3"/>
    <x v="2"/>
  </r>
  <r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2"/>
    <x v="6"/>
    <x v="5"/>
    <x v="1"/>
    <x v="2"/>
  </r>
  <r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3"/>
    <x v="4"/>
    <x v="1"/>
    <x v="4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6:J10" firstHeaderRow="1" firstDataRow="2" firstDataCol="1" rowPageCount="3" colPageCount="1"/>
  <pivotFields count="26">
    <pivotField axis="axisRow" compact="0" showAll="0" defaultSubtotal="0" outline="0">
      <items count="2">
        <item x="0"/>
        <item x="1"/>
      </items>
    </pivotField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axis="axisPage" dataField="1" compact="0" showAll="0" defaultSubtotal="0" outline="0">
      <items count="7">
        <item x="0"/>
        <item x="1"/>
        <item x="2"/>
        <item x="3"/>
        <item x="4"/>
        <item x="5"/>
        <item x="6"/>
      </items>
    </pivotField>
    <pivotField axis="axisPage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 outline="0"/>
    <pivotField axis="axisPage" compact="0" showAll="0" defaultSubtotal="0" outline="0">
      <items count="3">
        <item x="0"/>
        <item x="1"/>
        <item x="2"/>
      </items>
    </pivotField>
  </pivotFields>
  <rowFields count="1">
    <field x="0"/>
  </rowFields>
  <rowItems count="3">
    <i>
      <x v="0"/>
    </i>
    <i>
      <x v="1"/>
    </i>
    <i t="grand">
      <x v="2"/>
    </i>
  </rowItems>
  <colFields count="1">
    <field x="-2"/>
  </colFields>
  <colItems count="1">
    <i t="grand">
      <x v="0"/>
    </i>
  </colItems>
  <pageFields count="3">
    <pageField fld="25" hier="-1"/>
    <pageField fld="21" hier="-1"/>
    <pageField fld="20" hier="-1"/>
  </pageFields>
  <dataFields count="9">
    <dataField name="Sum - total_qty" fld="1" subtotal="sum" numFmtId="165"/>
    <dataField name="Sum - net_profit" fld="8" subtotal="sum" numFmtId="167"/>
    <dataField name="Average - gross_margin_pct" fld="13" subtotal="average" numFmtId="167"/>
    <dataField name="Average - profit_yoy_pct" fld="12" subtotal="average" numFmtId="167"/>
    <dataField name="Min - decline_rank" fld="20" subtotal="min" numFmtId="164"/>
    <dataField name="Average - returns_per_qty" fld="24" subtotal="average" numFmtId="164"/>
    <dataField name="Average - profit_yoy_pct" fld="12" subtotal="sum" numFmtId="167"/>
    <dataField name="Sum - qty_yoy_pct" fld="11" subtotal="sum" numFmtId="167"/>
    <dataField name="Sum - profit_delta" fld="19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35"/>
    <col collapsed="false" customWidth="true" hidden="false" outlineLevel="0" max="2" min="2" style="1" width="19.24"/>
    <col collapsed="false" customWidth="true" hidden="false" outlineLevel="0" max="3" min="3" style="1" width="53.47"/>
    <col collapsed="false" customWidth="true" hidden="false" outlineLevel="0" max="4" min="4" style="1" width="40.95"/>
    <col collapsed="false" customWidth="true" hidden="false" outlineLevel="0" max="5" min="5" style="1" width="37.88"/>
    <col collapsed="false" customWidth="true" hidden="false" outlineLevel="0" max="6" min="6" style="1" width="13.12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26.85" hidden="false" customHeight="false" outlineLevel="0" collapsed="false">
      <c r="A3" s="4" t="n">
        <v>1</v>
      </c>
      <c r="B3" s="5" t="s">
        <v>7</v>
      </c>
      <c r="C3" s="5" t="s">
        <v>8</v>
      </c>
      <c r="D3" s="5" t="s">
        <v>9</v>
      </c>
      <c r="E3" s="6" t="s">
        <v>10</v>
      </c>
      <c r="F3" s="5" t="s">
        <v>11</v>
      </c>
    </row>
    <row r="4" customFormat="false" ht="26.85" hidden="false" customHeight="false" outlineLevel="0" collapsed="false">
      <c r="A4" s="7" t="n">
        <v>2</v>
      </c>
      <c r="B4" s="8" t="s">
        <v>12</v>
      </c>
      <c r="C4" s="9" t="s">
        <v>13</v>
      </c>
      <c r="D4" s="8" t="s">
        <v>14</v>
      </c>
      <c r="E4" s="8" t="s">
        <v>15</v>
      </c>
      <c r="F4" s="8" t="s">
        <v>11</v>
      </c>
    </row>
    <row r="5" customFormat="false" ht="13.8" hidden="false" customHeight="false" outlineLevel="0" collapsed="false">
      <c r="A5" s="7" t="n">
        <v>3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</row>
    <row r="6" customFormat="false" ht="13.8" hidden="false" customHeight="false" outlineLevel="0" collapsed="false">
      <c r="A6" s="7" t="n">
        <v>4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11</v>
      </c>
    </row>
    <row r="7" customFormat="false" ht="13.8" hidden="false" customHeight="false" outlineLevel="0" collapsed="false">
      <c r="A7" s="7" t="n">
        <v>5</v>
      </c>
      <c r="B7" s="8" t="s">
        <v>25</v>
      </c>
      <c r="C7" s="8" t="s">
        <v>26</v>
      </c>
      <c r="D7" s="8" t="s">
        <v>27</v>
      </c>
      <c r="E7" s="8" t="s">
        <v>28</v>
      </c>
      <c r="F7" s="8" t="s">
        <v>20</v>
      </c>
    </row>
    <row r="8" customFormat="false" ht="13.8" hidden="false" customHeight="false" outlineLevel="0" collapsed="false">
      <c r="A8" s="10" t="n">
        <v>6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11.53515625" defaultRowHeight="12.8" customHeight="false" zeroHeight="false" outlineLevelRow="0" outlineLevelCol="0"/>
  <sheetData>
    <row r="1" customFormat="false" ht="22.05" hidden="false" customHeight="false" outlineLevel="0" collapsed="false">
      <c r="A1" s="12" t="s">
        <v>34</v>
      </c>
      <c r="B1" s="12"/>
      <c r="C1" s="12"/>
      <c r="D1" s="12"/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12"/>
    <col collapsed="false" customWidth="true" hidden="false" outlineLevel="0" max="3" min="2" style="1" width="8.39"/>
    <col collapsed="false" customWidth="true" hidden="false" outlineLevel="0" max="4" min="4" style="1" width="10.48"/>
    <col collapsed="false" customWidth="true" hidden="false" outlineLevel="0" max="5" min="5" style="1" width="8.95"/>
    <col collapsed="false" customWidth="true" hidden="false" outlineLevel="0" max="8" min="8" style="1" width="5.88"/>
    <col collapsed="false" customWidth="true" hidden="false" outlineLevel="0" max="9" min="9" style="1" width="13.12"/>
    <col collapsed="false" customWidth="true" hidden="false" outlineLevel="0" max="10" min="10" style="1" width="14.23"/>
    <col collapsed="false" customWidth="true" hidden="false" outlineLevel="0" max="11" min="11" style="1" width="14.09"/>
  </cols>
  <sheetData>
    <row r="1" customFormat="false" ht="12.8" hidden="false" customHeight="false" outlineLevel="0" collapsed="false">
      <c r="A1" s="13" t="s">
        <v>35</v>
      </c>
      <c r="B1" s="13" t="n">
        <v>2021</v>
      </c>
      <c r="C1" s="13" t="n">
        <v>2022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41</v>
      </c>
      <c r="J1" s="13" t="s">
        <v>42</v>
      </c>
      <c r="K1" s="13" t="s">
        <v>43</v>
      </c>
    </row>
    <row r="2" customFormat="false" ht="12.8" hidden="false" customHeight="false" outlineLevel="0" collapsed="false">
      <c r="A2" s="14" t="s">
        <v>44</v>
      </c>
      <c r="B2" s="14" t="n">
        <v>36230</v>
      </c>
      <c r="C2" s="14" t="n">
        <v>45314</v>
      </c>
      <c r="D2" s="15" t="n">
        <v>9084</v>
      </c>
      <c r="E2" s="16" t="n">
        <v>0.2507</v>
      </c>
      <c r="F2" s="14" t="s">
        <v>45</v>
      </c>
      <c r="G2" s="15" t="n">
        <v>67888</v>
      </c>
      <c r="H2" s="15" t="n">
        <v>3</v>
      </c>
      <c r="I2" s="17" t="s">
        <v>46</v>
      </c>
      <c r="J2" s="18" t="n">
        <v>3218911</v>
      </c>
      <c r="K2" s="19" t="n">
        <v>215.7</v>
      </c>
    </row>
    <row r="3" customFormat="false" ht="12.8" hidden="false" customHeight="false" outlineLevel="0" collapsed="false">
      <c r="A3" s="14" t="s">
        <v>47</v>
      </c>
      <c r="B3" s="14" t="n">
        <v>3690735</v>
      </c>
      <c r="C3" s="14" t="n">
        <v>3611731</v>
      </c>
      <c r="D3" s="15" t="n">
        <v>-7904</v>
      </c>
      <c r="E3" s="16" t="n">
        <v>-0.0214</v>
      </c>
      <c r="F3" s="14" t="s">
        <v>48</v>
      </c>
      <c r="G3" s="15" t="n">
        <v>-169476</v>
      </c>
      <c r="H3" s="15" t="n">
        <v>1</v>
      </c>
      <c r="I3" s="17" t="s">
        <v>49</v>
      </c>
      <c r="J3" s="18" t="n">
        <v>3293497</v>
      </c>
      <c r="K3" s="19" t="n">
        <v>175.67</v>
      </c>
    </row>
    <row r="4" customFormat="false" ht="12.8" hidden="false" customHeight="false" outlineLevel="0" collapsed="false">
      <c r="A4" s="14" t="s">
        <v>50</v>
      </c>
      <c r="B4" s="16" t="n">
        <v>0.4255</v>
      </c>
      <c r="C4" s="16" t="n">
        <v>0.4234</v>
      </c>
      <c r="D4" s="16" t="n">
        <v>-0.0021</v>
      </c>
      <c r="E4" s="16" t="n">
        <v>-0.0049</v>
      </c>
      <c r="F4" s="14" t="s">
        <v>51</v>
      </c>
      <c r="G4" s="15" t="n">
        <v>23533</v>
      </c>
      <c r="H4" s="15" t="n">
        <v>2</v>
      </c>
      <c r="I4" s="17" t="s">
        <v>52</v>
      </c>
      <c r="J4" s="18" t="n">
        <v>34931</v>
      </c>
      <c r="K4" s="19" t="n">
        <v>253.81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1" style="20" width="11.53"/>
    <col collapsed="false" customWidth="true" hidden="false" outlineLevel="0" max="3" min="3" style="21" width="13.4"/>
    <col collapsed="false" customWidth="false" hidden="false" outlineLevel="0" max="4" min="4" style="21" width="11.53"/>
    <col collapsed="false" customWidth="true" hidden="false" outlineLevel="0" max="6" min="5" style="21" width="16.74"/>
    <col collapsed="false" customWidth="false" hidden="false" outlineLevel="0" max="12" min="7" style="21" width="11.53"/>
    <col collapsed="false" customWidth="true" hidden="false" outlineLevel="0" max="13" min="13" style="21" width="12.98"/>
    <col collapsed="false" customWidth="true" hidden="false" outlineLevel="0" max="14" min="14" style="21" width="15.9"/>
    <col collapsed="false" customWidth="true" hidden="false" outlineLevel="0" max="15" min="15" style="1" width="13.4"/>
    <col collapsed="false" customWidth="true" hidden="false" outlineLevel="0" max="17" min="17" style="1" width="13.4"/>
    <col collapsed="false" customWidth="true" hidden="false" outlineLevel="0" max="22" min="22" style="1" width="13.12"/>
    <col collapsed="false" customWidth="true" hidden="false" outlineLevel="0" max="25" min="24" style="1" width="16.74"/>
    <col collapsed="false" customWidth="true" hidden="false" outlineLevel="0" max="26" min="26" style="1" width="10.2"/>
  </cols>
  <sheetData>
    <row r="1" customFormat="false" ht="12.8" hidden="false" customHeight="false" outlineLevel="0" collapsed="false">
      <c r="A1" s="22" t="s">
        <v>53</v>
      </c>
      <c r="B1" s="22" t="s">
        <v>54</v>
      </c>
      <c r="C1" s="23" t="s">
        <v>55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3" t="s">
        <v>61</v>
      </c>
      <c r="J1" s="23" t="s">
        <v>62</v>
      </c>
      <c r="K1" s="23" t="s">
        <v>63</v>
      </c>
      <c r="L1" s="23" t="s">
        <v>64</v>
      </c>
      <c r="M1" s="23" t="s">
        <v>65</v>
      </c>
      <c r="N1" s="23" t="s">
        <v>66</v>
      </c>
      <c r="O1" s="24" t="s">
        <v>67</v>
      </c>
      <c r="P1" s="24" t="s">
        <v>68</v>
      </c>
      <c r="Q1" s="24" t="s">
        <v>69</v>
      </c>
      <c r="R1" s="24" t="s">
        <v>70</v>
      </c>
      <c r="S1" s="24" t="s">
        <v>71</v>
      </c>
      <c r="T1" s="24" t="s">
        <v>72</v>
      </c>
      <c r="U1" s="24" t="s">
        <v>73</v>
      </c>
      <c r="V1" s="24" t="s">
        <v>74</v>
      </c>
      <c r="W1" s="24" t="s">
        <v>75</v>
      </c>
      <c r="X1" s="24" t="s">
        <v>76</v>
      </c>
      <c r="Y1" s="24" t="s">
        <v>43</v>
      </c>
      <c r="Z1" s="24" t="s">
        <v>77</v>
      </c>
    </row>
    <row r="2" customFormat="false" ht="12.8" hidden="false" customHeight="false" outlineLevel="0" collapsed="false">
      <c r="A2" s="22" t="n">
        <v>2021</v>
      </c>
      <c r="B2" s="22" t="n">
        <v>36230</v>
      </c>
      <c r="C2" s="21" t="n">
        <v>9324203.79</v>
      </c>
      <c r="D2" s="21" t="n">
        <v>5357119.66</v>
      </c>
      <c r="E2" s="21" t="n">
        <v>3967084.13</v>
      </c>
      <c r="F2" s="21" t="n">
        <v>770</v>
      </c>
      <c r="G2" s="21" t="n">
        <v>276348.93</v>
      </c>
      <c r="H2" s="21" t="n">
        <v>35460</v>
      </c>
      <c r="I2" s="21" t="n">
        <v>3690735.2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42.55</v>
      </c>
      <c r="O2" s="1" t="s">
        <v>78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s">
        <v>78</v>
      </c>
      <c r="W2" s="1" t="n">
        <v>0</v>
      </c>
      <c r="X2" s="1" t="n">
        <v>0</v>
      </c>
      <c r="Y2" s="1" t="n">
        <v>0</v>
      </c>
      <c r="Z2" s="1" t="s">
        <v>79</v>
      </c>
    </row>
    <row r="3" customFormat="false" ht="12.8" hidden="false" customHeight="false" outlineLevel="0" collapsed="false">
      <c r="A3" s="22" t="n">
        <v>2022</v>
      </c>
      <c r="B3" s="22" t="n">
        <v>45314</v>
      </c>
      <c r="C3" s="21" t="n">
        <v>9185449.45</v>
      </c>
      <c r="D3" s="21" t="n">
        <v>5296420.47</v>
      </c>
      <c r="E3" s="21" t="n">
        <v>3889028.97</v>
      </c>
      <c r="F3" s="21" t="n">
        <v>972</v>
      </c>
      <c r="G3" s="21" t="n">
        <v>277297.17</v>
      </c>
      <c r="H3" s="21" t="n">
        <v>44342</v>
      </c>
      <c r="I3" s="21" t="n">
        <v>3611731.81</v>
      </c>
      <c r="J3" s="21" t="n">
        <v>36230</v>
      </c>
      <c r="K3" s="21" t="n">
        <v>3690735.2</v>
      </c>
      <c r="L3" s="21" t="n">
        <v>25.07</v>
      </c>
      <c r="M3" s="21" t="n">
        <v>-2.14</v>
      </c>
      <c r="N3" s="21" t="n">
        <v>42.34</v>
      </c>
      <c r="O3" s="1" t="s">
        <v>78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s">
        <v>78</v>
      </c>
      <c r="W3" s="1" t="n">
        <v>0</v>
      </c>
      <c r="X3" s="1" t="n">
        <v>0</v>
      </c>
      <c r="Y3" s="1" t="n">
        <v>0</v>
      </c>
      <c r="Z3" s="1" t="s">
        <v>79</v>
      </c>
    </row>
    <row r="4" customFormat="false" ht="12.8" hidden="false" customHeight="false" outlineLevel="0" collapsed="false">
      <c r="A4" s="22" t="n">
        <v>2021</v>
      </c>
      <c r="B4" s="22" t="n">
        <v>25316</v>
      </c>
      <c r="C4" s="21" t="n">
        <v>0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250936.12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1" t="s">
        <v>45</v>
      </c>
      <c r="P4" s="1" t="n">
        <v>399342.117799956</v>
      </c>
      <c r="Q4" s="1" t="n">
        <v>148405.994799995</v>
      </c>
      <c r="R4" s="1" t="n">
        <v>2.68812185758366</v>
      </c>
      <c r="S4" s="1" t="n">
        <v>0</v>
      </c>
      <c r="T4" s="1" t="n">
        <v>0</v>
      </c>
      <c r="U4" s="1" t="n">
        <v>6</v>
      </c>
      <c r="V4" s="1" t="s">
        <v>78</v>
      </c>
      <c r="W4" s="1" t="n">
        <v>0</v>
      </c>
      <c r="X4" s="1" t="n">
        <v>0</v>
      </c>
      <c r="Y4" s="1" t="n">
        <v>0</v>
      </c>
      <c r="Z4" s="1" t="s">
        <v>80</v>
      </c>
    </row>
    <row r="5" customFormat="false" ht="12.8" hidden="false" customHeight="false" outlineLevel="0" collapsed="false">
      <c r="A5" s="22" t="n">
        <v>2022</v>
      </c>
      <c r="B5" s="22" t="n">
        <v>32493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318823.94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1" t="s">
        <v>45</v>
      </c>
      <c r="P5" s="1" t="n">
        <v>507330.989199908</v>
      </c>
      <c r="Q5" s="1" t="n">
        <v>188507.051199988</v>
      </c>
      <c r="R5" s="1" t="n">
        <v>2.68828158743257</v>
      </c>
      <c r="S5" s="1" t="n">
        <v>7177</v>
      </c>
      <c r="T5" s="1" t="n">
        <v>67887.8149999597</v>
      </c>
      <c r="U5" s="1" t="n">
        <v>3</v>
      </c>
      <c r="V5" s="1" t="s">
        <v>78</v>
      </c>
      <c r="W5" s="1" t="n">
        <v>0</v>
      </c>
      <c r="X5" s="1" t="n">
        <v>0</v>
      </c>
      <c r="Y5" s="1" t="n">
        <v>0</v>
      </c>
      <c r="Z5" s="1" t="s">
        <v>80</v>
      </c>
    </row>
    <row r="6" customFormat="false" ht="12.8" hidden="false" customHeight="false" outlineLevel="0" collapsed="false">
      <c r="A6" s="22" t="n">
        <v>2021</v>
      </c>
      <c r="B6" s="22" t="n">
        <v>5610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3647021.02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1" t="s">
        <v>48</v>
      </c>
      <c r="P6" s="1" t="n">
        <v>8768706.98490015</v>
      </c>
      <c r="Q6" s="1" t="n">
        <v>5121685.96939992</v>
      </c>
      <c r="R6" s="1" t="n">
        <v>1.70568672635527</v>
      </c>
      <c r="S6" s="1" t="n">
        <v>0</v>
      </c>
      <c r="T6" s="1" t="n">
        <v>0</v>
      </c>
      <c r="U6" s="1" t="n">
        <v>4</v>
      </c>
      <c r="V6" s="1" t="s">
        <v>78</v>
      </c>
      <c r="W6" s="1" t="n">
        <v>0</v>
      </c>
      <c r="X6" s="1" t="n">
        <v>0</v>
      </c>
      <c r="Y6" s="1" t="n">
        <v>0</v>
      </c>
      <c r="Z6" s="1" t="s">
        <v>80</v>
      </c>
    </row>
    <row r="7" customFormat="false" ht="12.8" hidden="false" customHeight="false" outlineLevel="0" collapsed="false">
      <c r="A7" s="22" t="n">
        <v>2022</v>
      </c>
      <c r="B7" s="22" t="n">
        <v>5689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3477544.92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1" t="s">
        <v>48</v>
      </c>
      <c r="P7" s="1" t="n">
        <v>8468854.53000019</v>
      </c>
      <c r="Q7" s="1" t="n">
        <v>4991309.60669985</v>
      </c>
      <c r="R7" s="1" t="n">
        <v>1.6921437844365</v>
      </c>
      <c r="S7" s="1" t="n">
        <v>79</v>
      </c>
      <c r="T7" s="1" t="n">
        <v>-169476.092199898</v>
      </c>
      <c r="U7" s="1" t="n">
        <v>1</v>
      </c>
      <c r="V7" s="1" t="s">
        <v>78</v>
      </c>
      <c r="W7" s="1" t="n">
        <v>0</v>
      </c>
      <c r="X7" s="1" t="n">
        <v>0</v>
      </c>
      <c r="Y7" s="1" t="n">
        <v>0</v>
      </c>
      <c r="Z7" s="1" t="s">
        <v>80</v>
      </c>
    </row>
    <row r="8" customFormat="false" ht="12.8" hidden="false" customHeight="false" outlineLevel="0" collapsed="false">
      <c r="A8" s="22" t="n">
        <v>2021</v>
      </c>
      <c r="B8" s="22" t="n">
        <v>5304</v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69126.99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1" t="s">
        <v>51</v>
      </c>
      <c r="P8" s="1" t="n">
        <v>156154.688999999</v>
      </c>
      <c r="Q8" s="1" t="n">
        <v>87027.7005000003</v>
      </c>
      <c r="R8" s="1" t="n">
        <v>1.89626322957643</v>
      </c>
      <c r="S8" s="1" t="n">
        <v>0</v>
      </c>
      <c r="T8" s="1" t="n">
        <v>0</v>
      </c>
      <c r="U8" s="1" t="n">
        <v>5</v>
      </c>
      <c r="V8" s="1" t="s">
        <v>78</v>
      </c>
      <c r="W8" s="1" t="n">
        <v>0</v>
      </c>
      <c r="X8" s="1" t="n">
        <v>0</v>
      </c>
      <c r="Y8" s="1" t="n">
        <v>0</v>
      </c>
      <c r="Z8" s="1" t="s">
        <v>80</v>
      </c>
    </row>
    <row r="9" customFormat="false" ht="12.8" hidden="false" customHeight="false" outlineLevel="0" collapsed="false">
      <c r="A9" s="22" t="n">
        <v>2022</v>
      </c>
      <c r="B9" s="22" t="n">
        <v>7132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92660.11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1" t="s">
        <v>51</v>
      </c>
      <c r="P9" s="1" t="n">
        <v>209263.928099994</v>
      </c>
      <c r="Q9" s="1" t="n">
        <v>116603.814600002</v>
      </c>
      <c r="R9" s="1" t="n">
        <v>1.88845742716933</v>
      </c>
      <c r="S9" s="1" t="n">
        <v>1828</v>
      </c>
      <c r="T9" s="1" t="n">
        <v>23533.1249999935</v>
      </c>
      <c r="U9" s="1" t="n">
        <v>2</v>
      </c>
      <c r="V9" s="1" t="s">
        <v>78</v>
      </c>
      <c r="W9" s="1" t="n">
        <v>0</v>
      </c>
      <c r="X9" s="1" t="n">
        <v>0</v>
      </c>
      <c r="Y9" s="1" t="n">
        <v>0</v>
      </c>
      <c r="Z9" s="1" t="s">
        <v>80</v>
      </c>
    </row>
    <row r="10" customFormat="false" ht="12.8" hidden="false" customHeight="false" outlineLevel="0" collapsed="false">
      <c r="A10" s="22" t="n">
        <v>2021</v>
      </c>
      <c r="B10" s="20" t="n">
        <v>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1" t="s">
        <v>78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s">
        <v>46</v>
      </c>
      <c r="W10" s="1" t="n">
        <v>864233</v>
      </c>
      <c r="X10" s="1" t="n">
        <v>3211651.83251283</v>
      </c>
      <c r="Y10" s="1" t="n">
        <v>284.275128347168</v>
      </c>
      <c r="Z10" s="1" t="s">
        <v>81</v>
      </c>
    </row>
    <row r="11" customFormat="false" ht="12.8" hidden="false" customHeight="false" outlineLevel="0" collapsed="false">
      <c r="A11" s="22" t="n">
        <v>2021</v>
      </c>
      <c r="B11" s="20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1" t="s">
        <v>78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s">
        <v>49</v>
      </c>
      <c r="W11" s="1" t="n">
        <v>2218218</v>
      </c>
      <c r="X11" s="1" t="n">
        <v>1781554.47393563</v>
      </c>
      <c r="Y11" s="1" t="n">
        <v>190.12575110637</v>
      </c>
      <c r="Z11" s="1" t="s">
        <v>81</v>
      </c>
    </row>
    <row r="12" customFormat="false" ht="12.8" hidden="false" customHeight="false" outlineLevel="0" collapsed="false">
      <c r="A12" s="22" t="n">
        <v>2021</v>
      </c>
      <c r="B12" s="20" t="n">
        <v>0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1" t="s">
        <v>78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s">
        <v>52</v>
      </c>
      <c r="W12" s="1" t="n">
        <v>1249024</v>
      </c>
      <c r="X12" s="1" t="n">
        <v>4270567.72329797</v>
      </c>
      <c r="Y12" s="1" t="n">
        <v>375.741416680663</v>
      </c>
      <c r="Z12" s="1" t="s">
        <v>81</v>
      </c>
    </row>
    <row r="13" customFormat="false" ht="12.8" hidden="false" customHeight="false" outlineLevel="0" collapsed="false">
      <c r="A13" s="22" t="n">
        <v>2022</v>
      </c>
      <c r="B13" s="20" t="n">
        <v>0</v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1" t="s">
        <v>78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s">
        <v>46</v>
      </c>
      <c r="W13" s="1" t="n">
        <v>1353420</v>
      </c>
      <c r="X13" s="1" t="n">
        <v>3218911.38403874</v>
      </c>
      <c r="Y13" s="1" t="n">
        <v>215.69839258202</v>
      </c>
      <c r="Z13" s="1" t="s">
        <v>81</v>
      </c>
    </row>
    <row r="14" customFormat="false" ht="12.8" hidden="false" customHeight="false" outlineLevel="0" collapsed="false">
      <c r="A14" s="22" t="n">
        <v>2022</v>
      </c>
      <c r="B14" s="20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1" t="s">
        <v>78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s">
        <v>49</v>
      </c>
      <c r="W14" s="1" t="n">
        <v>3496046</v>
      </c>
      <c r="X14" s="1" t="n">
        <v>3293496.74615632</v>
      </c>
      <c r="Y14" s="1" t="n">
        <v>175.669374322156</v>
      </c>
      <c r="Z14" s="1" t="s">
        <v>81</v>
      </c>
    </row>
    <row r="15" customFormat="false" ht="12.8" hidden="false" customHeight="false" outlineLevel="0" collapsed="false">
      <c r="A15" s="22" t="n">
        <v>2022</v>
      </c>
      <c r="B15" s="20" t="n">
        <v>0</v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1" t="s">
        <v>78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s">
        <v>52</v>
      </c>
      <c r="W15" s="1" t="n">
        <v>1944835</v>
      </c>
      <c r="X15" s="1" t="n">
        <v>34930.8751287839</v>
      </c>
      <c r="Y15" s="1" t="n">
        <v>253.814111575181</v>
      </c>
      <c r="Z15" s="1" t="s">
        <v>81</v>
      </c>
    </row>
    <row r="20" customFormat="false" ht="12.8" hidden="false" customHeight="false" outlineLevel="0" collapsed="false">
      <c r="B20" s="22"/>
    </row>
    <row r="50" customFormat="false" ht="12.8" hidden="false" customHeight="false" outlineLevel="0" collapsed="false">
      <c r="B50" s="2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3.95"/>
    <col collapsed="false" customWidth="true" hidden="false" outlineLevel="0" max="3" min="3" style="1" width="14.52"/>
    <col collapsed="false" customWidth="true" hidden="false" outlineLevel="0" max="4" min="4" style="1" width="24.25"/>
    <col collapsed="false" customWidth="true" hidden="false" outlineLevel="0" max="5" min="5" style="1" width="21.32"/>
    <col collapsed="false" customWidth="true" hidden="false" outlineLevel="0" max="6" min="6" style="1" width="16.31"/>
    <col collapsed="false" customWidth="true" hidden="false" outlineLevel="0" max="7" min="7" style="1" width="22.44"/>
    <col collapsed="false" customWidth="true" hidden="false" outlineLevel="0" max="8" min="8" style="1" width="21.32"/>
    <col collapsed="false" customWidth="true" hidden="false" outlineLevel="0" max="9" min="9" style="1" width="16.89"/>
    <col collapsed="false" customWidth="true" hidden="false" outlineLevel="0" max="10" min="10" style="1" width="16.74"/>
    <col collapsed="false" customWidth="true" hidden="false" outlineLevel="0" max="11" min="11" style="1" width="20.07"/>
    <col collapsed="false" customWidth="true" hidden="false" outlineLevel="0" max="12" min="12" style="1" width="14.52"/>
    <col collapsed="false" customWidth="true" hidden="false" outlineLevel="0" max="13" min="13" style="1" width="24.25"/>
    <col collapsed="false" customWidth="true" hidden="false" outlineLevel="0" max="14" min="14" style="1" width="21.32"/>
    <col collapsed="false" customWidth="true" hidden="false" outlineLevel="0" max="15" min="15" style="1" width="16.31"/>
    <col collapsed="false" customWidth="true" hidden="false" outlineLevel="0" max="16" min="16" style="1" width="22.44"/>
    <col collapsed="false" customWidth="true" hidden="false" outlineLevel="0" max="17" min="17" style="1" width="21.32"/>
    <col collapsed="false" customWidth="true" hidden="false" outlineLevel="0" max="18" min="18" style="1" width="16.89"/>
    <col collapsed="false" customWidth="true" hidden="false" outlineLevel="0" max="19" min="19" style="1" width="17.29"/>
    <col collapsed="false" customWidth="true" hidden="false" outlineLevel="0" max="20" min="20" style="1" width="13.95"/>
    <col collapsed="false" customWidth="true" hidden="false" outlineLevel="0" max="21" min="21" style="1" width="14.52"/>
    <col collapsed="false" customWidth="true" hidden="false" outlineLevel="0" max="22" min="22" style="1" width="24.25"/>
    <col collapsed="false" customWidth="true" hidden="false" outlineLevel="0" max="23" min="23" style="1" width="21.32"/>
    <col collapsed="false" customWidth="true" hidden="false" outlineLevel="0" max="24" min="24" style="1" width="16.31"/>
    <col collapsed="false" customWidth="true" hidden="false" outlineLevel="0" max="25" min="25" style="1" width="22.44"/>
    <col collapsed="false" customWidth="true" hidden="false" outlineLevel="0" max="26" min="26" style="1" width="21.32"/>
    <col collapsed="false" customWidth="true" hidden="false" outlineLevel="0" max="27" min="27" style="1" width="16.89"/>
    <col collapsed="false" customWidth="true" hidden="false" outlineLevel="0" max="28" min="28" style="1" width="16.74"/>
    <col collapsed="false" customWidth="true" hidden="false" outlineLevel="0" max="29" min="29" style="1" width="19.52"/>
    <col collapsed="false" customWidth="true" hidden="false" outlineLevel="0" max="30" min="30" style="1" width="20.35"/>
    <col collapsed="false" customWidth="true" hidden="false" outlineLevel="0" max="31" min="31" style="1" width="30.65"/>
    <col collapsed="false" customWidth="true" hidden="false" outlineLevel="0" max="32" min="32" style="1" width="27.3"/>
    <col collapsed="false" customWidth="true" hidden="false" outlineLevel="0" max="33" min="33" style="1" width="22.3"/>
    <col collapsed="false" customWidth="true" hidden="false" outlineLevel="0" max="34" min="34" style="1" width="28.56"/>
    <col collapsed="false" customWidth="true" hidden="false" outlineLevel="0" max="35" min="35" style="1" width="27.3"/>
    <col collapsed="false" customWidth="true" hidden="false" outlineLevel="0" max="36" min="36" style="1" width="22.44"/>
    <col collapsed="false" customWidth="true" hidden="false" outlineLevel="0" max="37" min="37" style="1" width="21.88"/>
  </cols>
  <sheetData>
    <row r="2" customFormat="false" ht="12.8" hidden="false" customHeight="false" outlineLevel="0" collapsed="false">
      <c r="A2" s="25" t="s">
        <v>77</v>
      </c>
      <c r="B2" s="26" t="s">
        <v>82</v>
      </c>
      <c r="C2" s="0"/>
      <c r="D2" s="0"/>
      <c r="E2" s="0"/>
      <c r="F2" s="0"/>
      <c r="G2" s="0"/>
      <c r="H2" s="0"/>
      <c r="I2" s="0"/>
      <c r="J2" s="0"/>
    </row>
    <row r="3" customFormat="false" ht="12.8" hidden="false" customHeight="false" outlineLevel="0" collapsed="false">
      <c r="A3" s="25" t="s">
        <v>74</v>
      </c>
      <c r="B3" s="26" t="s">
        <v>82</v>
      </c>
      <c r="C3" s="0"/>
      <c r="D3" s="0"/>
      <c r="E3" s="0"/>
      <c r="F3" s="0"/>
      <c r="G3" s="0"/>
      <c r="H3" s="0"/>
      <c r="I3" s="0"/>
      <c r="J3" s="0"/>
    </row>
    <row r="4" customFormat="false" ht="12.8" hidden="false" customHeight="false" outlineLevel="0" collapsed="false">
      <c r="A4" s="25" t="s">
        <v>73</v>
      </c>
      <c r="B4" s="26" t="s">
        <v>82</v>
      </c>
      <c r="C4" s="0"/>
      <c r="D4" s="0"/>
      <c r="E4" s="0"/>
      <c r="F4" s="0"/>
      <c r="G4" s="0"/>
      <c r="H4" s="0"/>
      <c r="I4" s="0"/>
      <c r="J4" s="0"/>
    </row>
    <row r="5" customFormat="false" ht="12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</row>
    <row r="6" customFormat="false" ht="12.8" hidden="false" customHeight="false" outlineLevel="0" collapsed="false">
      <c r="A6" s="27"/>
      <c r="B6" s="28" t="s">
        <v>83</v>
      </c>
      <c r="C6" s="29"/>
      <c r="D6" s="29"/>
      <c r="E6" s="29"/>
      <c r="F6" s="29"/>
      <c r="G6" s="29"/>
      <c r="H6" s="29"/>
      <c r="I6" s="29"/>
      <c r="J6" s="30"/>
    </row>
    <row r="7" customFormat="false" ht="12.8" hidden="false" customHeight="false" outlineLevel="0" collapsed="false">
      <c r="A7" s="31" t="s">
        <v>53</v>
      </c>
      <c r="B7" s="32" t="s">
        <v>84</v>
      </c>
      <c r="C7" s="33" t="s">
        <v>85</v>
      </c>
      <c r="D7" s="33" t="s">
        <v>86</v>
      </c>
      <c r="E7" s="33" t="s">
        <v>87</v>
      </c>
      <c r="F7" s="33" t="s">
        <v>88</v>
      </c>
      <c r="G7" s="33" t="s">
        <v>89</v>
      </c>
      <c r="H7" s="33" t="s">
        <v>87</v>
      </c>
      <c r="I7" s="33" t="s">
        <v>90</v>
      </c>
      <c r="J7" s="34" t="s">
        <v>91</v>
      </c>
    </row>
    <row r="8" customFormat="false" ht="12.8" hidden="false" customHeight="false" outlineLevel="0" collapsed="false">
      <c r="A8" s="35" t="n">
        <v>2021</v>
      </c>
      <c r="B8" s="36" t="n">
        <v>72460</v>
      </c>
      <c r="C8" s="37" t="n">
        <v>7657819.33</v>
      </c>
      <c r="D8" s="37" t="n">
        <v>6.07857142857143</v>
      </c>
      <c r="E8" s="37" t="n">
        <v>0</v>
      </c>
      <c r="F8" s="38" t="n">
        <v>0</v>
      </c>
      <c r="G8" s="38" t="n">
        <v>121.448899447743</v>
      </c>
      <c r="H8" s="37" t="n">
        <v>0</v>
      </c>
      <c r="I8" s="37" t="n">
        <v>0</v>
      </c>
      <c r="J8" s="39" t="n">
        <v>0</v>
      </c>
    </row>
    <row r="9" customFormat="false" ht="12.8" hidden="false" customHeight="false" outlineLevel="0" collapsed="false">
      <c r="A9" s="40" t="n">
        <v>2022</v>
      </c>
      <c r="B9" s="41" t="n">
        <v>90628</v>
      </c>
      <c r="C9" s="42" t="n">
        <v>7500760.78</v>
      </c>
      <c r="D9" s="42" t="n">
        <v>6.04857142857143</v>
      </c>
      <c r="E9" s="42" t="n">
        <v>-0.305714285714286</v>
      </c>
      <c r="F9" s="43" t="n">
        <v>0</v>
      </c>
      <c r="G9" s="43" t="n">
        <v>92.1688397827653</v>
      </c>
      <c r="H9" s="42" t="n">
        <v>-2.14</v>
      </c>
      <c r="I9" s="42" t="n">
        <v>25.07</v>
      </c>
      <c r="J9" s="44" t="n">
        <v>-78055.1521999448</v>
      </c>
    </row>
    <row r="10" customFormat="false" ht="12.8" hidden="false" customHeight="false" outlineLevel="0" collapsed="false">
      <c r="A10" s="45" t="s">
        <v>92</v>
      </c>
      <c r="B10" s="46" t="n">
        <v>163088</v>
      </c>
      <c r="C10" s="47" t="n">
        <v>15158580.11</v>
      </c>
      <c r="D10" s="47" t="n">
        <v>6.06357142857143</v>
      </c>
      <c r="E10" s="47" t="n">
        <v>-0.152857142857143</v>
      </c>
      <c r="F10" s="48" t="n">
        <v>0</v>
      </c>
      <c r="G10" s="48" t="n">
        <v>106.808869615254</v>
      </c>
      <c r="H10" s="47" t="n">
        <v>-2.14</v>
      </c>
      <c r="I10" s="47" t="n">
        <v>25.07</v>
      </c>
      <c r="J10" s="49" t="n">
        <v>-78055.1521999448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2.98"/>
    <col collapsed="false" customWidth="true" hidden="false" outlineLevel="0" max="3" min="3" style="1" width="13.95"/>
    <col collapsed="false" customWidth="true" hidden="false" outlineLevel="0" max="4" min="4" style="1" width="14.52"/>
    <col collapsed="false" customWidth="true" hidden="false" outlineLevel="0" max="5" min="5" style="1" width="16.31"/>
    <col collapsed="false" customWidth="true" hidden="false" outlineLevel="0" max="6" min="6" style="1" width="17.29"/>
  </cols>
  <sheetData>
    <row r="2" customFormat="false" ht="12.8" hidden="false" customHeight="false" outlineLevel="0" collapsed="false">
      <c r="A2" s="1" t="s">
        <v>77</v>
      </c>
      <c r="B2" s="50" t="s">
        <v>80</v>
      </c>
    </row>
    <row r="3" customFormat="false" ht="12.8" hidden="false" customHeight="false" outlineLevel="0" collapsed="false">
      <c r="A3" s="1" t="s">
        <v>93</v>
      </c>
      <c r="B3" s="50" t="s">
        <v>94</v>
      </c>
    </row>
    <row r="4" customFormat="false" ht="12.8" hidden="false" customHeight="false" outlineLevel="0" collapsed="false">
      <c r="A4" s="1" t="s">
        <v>73</v>
      </c>
      <c r="B4" s="50" t="s">
        <v>95</v>
      </c>
    </row>
    <row r="6" customFormat="false" ht="12.8" hidden="false" customHeight="false" outlineLevel="0" collapsed="false">
      <c r="A6" s="51"/>
      <c r="B6" s="52"/>
      <c r="C6" s="53" t="s">
        <v>83</v>
      </c>
      <c r="D6" s="54"/>
      <c r="E6" s="54"/>
      <c r="F6" s="55"/>
    </row>
    <row r="7" customFormat="false" ht="12.8" hidden="false" customHeight="false" outlineLevel="0" collapsed="false">
      <c r="A7" s="56" t="s">
        <v>53</v>
      </c>
      <c r="B7" s="57" t="s">
        <v>67</v>
      </c>
      <c r="C7" s="58" t="s">
        <v>84</v>
      </c>
      <c r="D7" s="59" t="s">
        <v>85</v>
      </c>
      <c r="E7" s="59" t="s">
        <v>88</v>
      </c>
      <c r="F7" s="60" t="s">
        <v>91</v>
      </c>
    </row>
    <row r="8" customFormat="false" ht="12.8" hidden="false" customHeight="false" outlineLevel="0" collapsed="false">
      <c r="A8" s="61" t="n">
        <v>2022</v>
      </c>
      <c r="B8" s="62" t="s">
        <v>45</v>
      </c>
      <c r="C8" s="63" t="n">
        <v>32493</v>
      </c>
      <c r="D8" s="64" t="n">
        <v>318823.94</v>
      </c>
      <c r="E8" s="65" t="n">
        <v>3</v>
      </c>
      <c r="F8" s="66" t="n">
        <v>67887.8149999597</v>
      </c>
    </row>
    <row r="9" customFormat="false" ht="12.8" hidden="false" customHeight="false" outlineLevel="0" collapsed="false">
      <c r="A9" s="67"/>
      <c r="B9" s="68" t="s">
        <v>48</v>
      </c>
      <c r="C9" s="69" t="n">
        <v>5689</v>
      </c>
      <c r="D9" s="70" t="n">
        <v>3477544.92</v>
      </c>
      <c r="E9" s="71" t="n">
        <v>1</v>
      </c>
      <c r="F9" s="72" t="n">
        <v>-169476.092199898</v>
      </c>
    </row>
    <row r="10" customFormat="false" ht="12.8" hidden="false" customHeight="false" outlineLevel="0" collapsed="false">
      <c r="A10" s="73"/>
      <c r="B10" s="74" t="s">
        <v>51</v>
      </c>
      <c r="C10" s="75" t="n">
        <v>7132</v>
      </c>
      <c r="D10" s="76" t="n">
        <v>92660.11</v>
      </c>
      <c r="E10" s="77" t="n">
        <v>2</v>
      </c>
      <c r="F10" s="78" t="n">
        <v>23533.1249999935</v>
      </c>
    </row>
    <row r="11" customFormat="false" ht="12.8" hidden="false" customHeight="false" outlineLevel="0" collapsed="false">
      <c r="A11" s="79" t="s">
        <v>92</v>
      </c>
      <c r="B11" s="80"/>
      <c r="C11" s="81" t="n">
        <v>45314</v>
      </c>
      <c r="D11" s="82" t="n">
        <v>3889028.97</v>
      </c>
      <c r="E11" s="83" t="n">
        <v>1</v>
      </c>
      <c r="F11" s="84" t="n">
        <v>-78055.1521999448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22.44"/>
    <col collapsed="false" customWidth="true" hidden="false" outlineLevel="0" max="3" min="3" style="1" width="20.07"/>
  </cols>
  <sheetData>
    <row r="2" customFormat="false" ht="12.8" hidden="false" customHeight="false" outlineLevel="0" collapsed="false">
      <c r="A2" s="1" t="s">
        <v>77</v>
      </c>
      <c r="B2" s="50" t="s">
        <v>81</v>
      </c>
    </row>
    <row r="3" customFormat="false" ht="12.8" hidden="false" customHeight="false" outlineLevel="0" collapsed="false">
      <c r="A3" s="1" t="s">
        <v>93</v>
      </c>
      <c r="B3" s="50" t="s">
        <v>52</v>
      </c>
    </row>
    <row r="4" customFormat="false" ht="12.8" hidden="false" customHeight="false" outlineLevel="0" collapsed="false">
      <c r="A4" s="1" t="s">
        <v>73</v>
      </c>
      <c r="B4" s="50" t="s">
        <v>94</v>
      </c>
    </row>
    <row r="6" customFormat="false" ht="12.8" hidden="false" customHeight="false" outlineLevel="0" collapsed="false">
      <c r="A6" s="85"/>
      <c r="B6" s="54"/>
      <c r="C6" s="55"/>
    </row>
    <row r="7" customFormat="false" ht="12.8" hidden="false" customHeight="false" outlineLevel="0" collapsed="false">
      <c r="A7" s="56" t="s">
        <v>53</v>
      </c>
      <c r="B7" s="59" t="s">
        <v>89</v>
      </c>
      <c r="C7" s="60" t="s">
        <v>96</v>
      </c>
    </row>
    <row r="8" customFormat="false" ht="12.8" hidden="false" customHeight="false" outlineLevel="0" collapsed="false">
      <c r="A8" s="61" t="n">
        <v>2021</v>
      </c>
      <c r="B8" s="65" t="n">
        <v>375.741416680663</v>
      </c>
      <c r="C8" s="66" t="n">
        <v>4270567.72329797</v>
      </c>
    </row>
    <row r="9" customFormat="false" ht="12.8" hidden="false" customHeight="false" outlineLevel="0" collapsed="false">
      <c r="A9" s="67" t="n">
        <v>2022</v>
      </c>
      <c r="B9" s="77" t="n">
        <v>253.814111575181</v>
      </c>
      <c r="C9" s="78" t="n">
        <v>34930.8751287839</v>
      </c>
    </row>
    <row r="10" customFormat="false" ht="12.8" hidden="false" customHeight="false" outlineLevel="0" collapsed="false">
      <c r="A10" s="86" t="s">
        <v>92</v>
      </c>
      <c r="B10" s="83" t="n">
        <v>314.777764127922</v>
      </c>
      <c r="C10" s="84" t="n">
        <v>4305498.59842676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3.95"/>
    <col collapsed="false" customWidth="true" hidden="false" outlineLevel="0" max="3" min="3" style="1" width="14.52"/>
    <col collapsed="false" customWidth="true" hidden="false" outlineLevel="0" max="4" min="4" style="1" width="24.25"/>
    <col collapsed="false" customWidth="true" hidden="false" outlineLevel="0" max="6" min="5" style="1" width="21.32"/>
    <col collapsed="false" customWidth="true" hidden="false" outlineLevel="0" max="7" min="7" style="1" width="16.89"/>
  </cols>
  <sheetData>
    <row r="2" customFormat="false" ht="12.8" hidden="false" customHeight="false" outlineLevel="0" collapsed="false">
      <c r="A2" s="1" t="s">
        <v>77</v>
      </c>
      <c r="B2" s="50" t="s">
        <v>81</v>
      </c>
    </row>
    <row r="3" customFormat="false" ht="12.8" hidden="false" customHeight="false" outlineLevel="0" collapsed="false">
      <c r="A3" s="1" t="s">
        <v>93</v>
      </c>
      <c r="B3" s="50" t="s">
        <v>52</v>
      </c>
    </row>
    <row r="4" customFormat="false" ht="12.8" hidden="false" customHeight="false" outlineLevel="0" collapsed="false">
      <c r="A4" s="1" t="s">
        <v>97</v>
      </c>
      <c r="B4" s="50" t="n">
        <v>-2.14</v>
      </c>
    </row>
    <row r="6" customFormat="false" ht="12.8" hidden="false" customHeight="false" outlineLevel="0" collapsed="false">
      <c r="A6" s="85"/>
      <c r="B6" s="53" t="s">
        <v>83</v>
      </c>
      <c r="C6" s="54"/>
      <c r="D6" s="54"/>
      <c r="E6" s="54"/>
      <c r="F6" s="54"/>
      <c r="G6" s="87"/>
    </row>
    <row r="7" customFormat="false" ht="12.8" hidden="false" customHeight="false" outlineLevel="0" collapsed="false">
      <c r="A7" s="56" t="s">
        <v>53</v>
      </c>
      <c r="B7" s="58" t="s">
        <v>84</v>
      </c>
      <c r="C7" s="59" t="s">
        <v>85</v>
      </c>
      <c r="D7" s="59" t="s">
        <v>86</v>
      </c>
      <c r="E7" s="59" t="s">
        <v>87</v>
      </c>
      <c r="F7" s="59" t="s">
        <v>87</v>
      </c>
      <c r="G7" s="88" t="s">
        <v>90</v>
      </c>
    </row>
    <row r="8" customFormat="false" ht="12.8" hidden="false" customHeight="false" outlineLevel="0" collapsed="false">
      <c r="A8" s="61" t="n">
        <v>2022</v>
      </c>
      <c r="B8" s="89" t="n">
        <v>45314</v>
      </c>
      <c r="C8" s="90" t="n">
        <v>3611731.81</v>
      </c>
      <c r="D8" s="90" t="n">
        <v>42.34</v>
      </c>
      <c r="E8" s="90" t="n">
        <v>-2.14</v>
      </c>
      <c r="F8" s="90" t="n">
        <v>-2.14</v>
      </c>
      <c r="G8" s="91" t="n">
        <v>25.07</v>
      </c>
    </row>
    <row r="9" customFormat="false" ht="12.8" hidden="false" customHeight="false" outlineLevel="0" collapsed="false">
      <c r="A9" s="86" t="s">
        <v>92</v>
      </c>
      <c r="B9" s="81" t="n">
        <v>45314</v>
      </c>
      <c r="C9" s="82" t="n">
        <v>3611731.81</v>
      </c>
      <c r="D9" s="82" t="n">
        <v>42.34</v>
      </c>
      <c r="E9" s="82" t="n">
        <v>-2.14</v>
      </c>
      <c r="F9" s="82" t="n">
        <v>-2.14</v>
      </c>
      <c r="G9" s="92" t="n">
        <v>25.07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3.95"/>
    <col collapsed="false" customWidth="true" hidden="false" outlineLevel="0" max="3" min="3" style="1" width="14.52"/>
    <col collapsed="false" customWidth="true" hidden="false" outlineLevel="0" max="4" min="4" style="1" width="16.31"/>
    <col collapsed="false" customWidth="true" hidden="false" outlineLevel="0" max="5" min="5" style="1" width="17.29"/>
    <col collapsed="false" customWidth="true" hidden="false" outlineLevel="0" max="6" min="6" style="1" width="20.77"/>
  </cols>
  <sheetData>
    <row r="2" customFormat="false" ht="12.8" hidden="false" customHeight="false" outlineLevel="0" collapsed="false">
      <c r="A2" s="1" t="s">
        <v>77</v>
      </c>
      <c r="B2" s="50" t="s">
        <v>80</v>
      </c>
    </row>
    <row r="3" customFormat="false" ht="12.8" hidden="false" customHeight="false" outlineLevel="0" collapsed="false">
      <c r="A3" s="1" t="s">
        <v>93</v>
      </c>
      <c r="B3" s="50" t="s">
        <v>94</v>
      </c>
    </row>
    <row r="4" customFormat="false" ht="12.8" hidden="false" customHeight="false" outlineLevel="0" collapsed="false">
      <c r="A4" s="1" t="s">
        <v>98</v>
      </c>
      <c r="B4" s="50" t="s">
        <v>48</v>
      </c>
    </row>
    <row r="6" customFormat="false" ht="12.8" hidden="false" customHeight="false" outlineLevel="0" collapsed="false">
      <c r="A6" s="85"/>
      <c r="B6" s="53" t="s">
        <v>83</v>
      </c>
      <c r="C6" s="54"/>
      <c r="D6" s="54"/>
      <c r="E6" s="54"/>
      <c r="F6" s="55"/>
    </row>
    <row r="7" customFormat="false" ht="12.8" hidden="false" customHeight="false" outlineLevel="0" collapsed="false">
      <c r="A7" s="56" t="s">
        <v>53</v>
      </c>
      <c r="B7" s="58" t="s">
        <v>84</v>
      </c>
      <c r="C7" s="59" t="s">
        <v>85</v>
      </c>
      <c r="D7" s="59" t="s">
        <v>88</v>
      </c>
      <c r="E7" s="59" t="s">
        <v>91</v>
      </c>
      <c r="F7" s="60" t="s">
        <v>99</v>
      </c>
    </row>
    <row r="8" customFormat="false" ht="12.8" hidden="false" customHeight="false" outlineLevel="0" collapsed="false">
      <c r="A8" s="61" t="n">
        <v>2021</v>
      </c>
      <c r="B8" s="63" t="n">
        <v>5610</v>
      </c>
      <c r="C8" s="64" t="n">
        <v>3647021.02</v>
      </c>
      <c r="D8" s="65" t="n">
        <v>4</v>
      </c>
      <c r="E8" s="65" t="n">
        <v>0</v>
      </c>
      <c r="F8" s="66" t="n">
        <v>1.70568672635527</v>
      </c>
    </row>
    <row r="9" customFormat="false" ht="12.8" hidden="false" customHeight="false" outlineLevel="0" collapsed="false">
      <c r="A9" s="67" t="n">
        <v>2022</v>
      </c>
      <c r="B9" s="75" t="n">
        <v>5689</v>
      </c>
      <c r="C9" s="76" t="n">
        <v>3477544.92</v>
      </c>
      <c r="D9" s="77" t="n">
        <v>1</v>
      </c>
      <c r="E9" s="77" t="n">
        <v>-169476.092199898</v>
      </c>
      <c r="F9" s="78" t="n">
        <v>1.6921437844365</v>
      </c>
    </row>
    <row r="10" customFormat="false" ht="12.8" hidden="false" customHeight="false" outlineLevel="0" collapsed="false">
      <c r="A10" s="86" t="s">
        <v>92</v>
      </c>
      <c r="B10" s="81" t="n">
        <v>11299</v>
      </c>
      <c r="C10" s="82" t="n">
        <v>7124565.94</v>
      </c>
      <c r="D10" s="83" t="n">
        <v>1</v>
      </c>
      <c r="E10" s="83" t="n">
        <v>-169476.092199898</v>
      </c>
      <c r="F10" s="84" t="n">
        <v>3.39783051079177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2" style="1" width="22.44"/>
    <col collapsed="false" customWidth="true" hidden="false" outlineLevel="0" max="4" min="4" style="1" width="28.56"/>
  </cols>
  <sheetData>
    <row r="2" customFormat="false" ht="12.8" hidden="false" customHeight="false" outlineLevel="0" collapsed="false">
      <c r="A2" s="1" t="s">
        <v>77</v>
      </c>
      <c r="B2" s="50" t="s">
        <v>81</v>
      </c>
    </row>
    <row r="3" customFormat="false" ht="12.8" hidden="false" customHeight="false" outlineLevel="0" collapsed="false">
      <c r="A3" s="1" t="s">
        <v>93</v>
      </c>
      <c r="B3" s="50" t="s">
        <v>94</v>
      </c>
    </row>
    <row r="4" customFormat="false" ht="12.8" hidden="false" customHeight="false" outlineLevel="0" collapsed="false">
      <c r="A4" s="1" t="s">
        <v>43</v>
      </c>
      <c r="B4" s="50" t="s">
        <v>100</v>
      </c>
    </row>
    <row r="5" customFormat="false" ht="12.8" hidden="false" customHeight="false" outlineLevel="0" collapsed="false">
      <c r="A5" s="93"/>
      <c r="B5" s="94"/>
      <c r="C5" s="94"/>
      <c r="D5" s="95"/>
    </row>
    <row r="6" customFormat="false" ht="12.8" hidden="false" customHeight="false" outlineLevel="0" collapsed="false">
      <c r="A6" s="96"/>
      <c r="B6" s="53" t="s">
        <v>74</v>
      </c>
      <c r="C6" s="97"/>
      <c r="D6" s="52"/>
    </row>
    <row r="7" customFormat="false" ht="12.8" hidden="false" customHeight="false" outlineLevel="0" collapsed="false">
      <c r="A7" s="98"/>
      <c r="B7" s="99" t="s">
        <v>46</v>
      </c>
      <c r="C7" s="100" t="s">
        <v>52</v>
      </c>
      <c r="D7" s="101" t="s">
        <v>101</v>
      </c>
    </row>
    <row r="8" customFormat="false" ht="12.8" hidden="false" customHeight="false" outlineLevel="0" collapsed="false">
      <c r="A8" s="57" t="s">
        <v>53</v>
      </c>
      <c r="B8" s="59" t="s">
        <v>89</v>
      </c>
      <c r="C8" s="59" t="s">
        <v>89</v>
      </c>
      <c r="D8" s="102"/>
    </row>
    <row r="9" customFormat="false" ht="12.8" hidden="false" customHeight="false" outlineLevel="0" collapsed="false">
      <c r="A9" s="103" t="n">
        <v>2021</v>
      </c>
      <c r="B9" s="65" t="n">
        <v>284.275128347168</v>
      </c>
      <c r="C9" s="71" t="n">
        <v>375.741416680663</v>
      </c>
      <c r="D9" s="104" t="n">
        <v>330.008272513916</v>
      </c>
    </row>
    <row r="10" customFormat="false" ht="12.8" hidden="false" customHeight="false" outlineLevel="0" collapsed="false">
      <c r="A10" s="105" t="n">
        <v>2022</v>
      </c>
      <c r="B10" s="77" t="n">
        <v>215.69839258202</v>
      </c>
      <c r="C10" s="71" t="n">
        <v>253.814111575181</v>
      </c>
      <c r="D10" s="104" t="n">
        <v>234.7562520786</v>
      </c>
    </row>
    <row r="11" customFormat="false" ht="12.8" hidden="false" customHeight="false" outlineLevel="0" collapsed="false">
      <c r="A11" s="106" t="s">
        <v>92</v>
      </c>
      <c r="B11" s="107" t="n">
        <v>249.986760464594</v>
      </c>
      <c r="C11" s="107" t="n">
        <v>314.777764127922</v>
      </c>
      <c r="D11" s="108" t="n">
        <v>282.382262296258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12.98"/>
    <col collapsed="false" customWidth="true" hidden="false" outlineLevel="0" max="3" min="3" style="1" width="13.95"/>
    <col collapsed="false" customWidth="true" hidden="false" outlineLevel="0" max="4" min="4" style="1" width="14.52"/>
    <col collapsed="false" customWidth="true" hidden="false" outlineLevel="0" max="5" min="5" style="1" width="16.31"/>
    <col collapsed="false" customWidth="true" hidden="false" outlineLevel="0" max="6" min="6" style="1" width="17.29"/>
  </cols>
  <sheetData>
    <row r="2" customFormat="false" ht="12.8" hidden="false" customHeight="false" outlineLevel="0" collapsed="false">
      <c r="A2" s="1" t="s">
        <v>77</v>
      </c>
      <c r="B2" s="50" t="s">
        <v>80</v>
      </c>
    </row>
    <row r="3" customFormat="false" ht="12.8" hidden="false" customHeight="false" outlineLevel="0" collapsed="false">
      <c r="A3" s="1" t="s">
        <v>93</v>
      </c>
      <c r="B3" s="50" t="s">
        <v>94</v>
      </c>
    </row>
    <row r="4" customFormat="false" ht="12.8" hidden="false" customHeight="false" outlineLevel="0" collapsed="false">
      <c r="A4" s="1" t="s">
        <v>73</v>
      </c>
      <c r="B4" s="50" t="s">
        <v>102</v>
      </c>
    </row>
    <row r="6" customFormat="false" ht="12.8" hidden="false" customHeight="false" outlineLevel="0" collapsed="false">
      <c r="A6" s="51"/>
      <c r="B6" s="52"/>
      <c r="C6" s="53" t="s">
        <v>83</v>
      </c>
      <c r="D6" s="54"/>
      <c r="E6" s="54"/>
      <c r="F6" s="55"/>
    </row>
    <row r="7" customFormat="false" ht="12.8" hidden="false" customHeight="false" outlineLevel="0" collapsed="false">
      <c r="A7" s="56" t="s">
        <v>53</v>
      </c>
      <c r="B7" s="57" t="s">
        <v>67</v>
      </c>
      <c r="C7" s="58" t="s">
        <v>84</v>
      </c>
      <c r="D7" s="59" t="s">
        <v>85</v>
      </c>
      <c r="E7" s="59" t="s">
        <v>88</v>
      </c>
      <c r="F7" s="60" t="s">
        <v>91</v>
      </c>
    </row>
    <row r="8" customFormat="false" ht="12.8" hidden="false" customHeight="false" outlineLevel="0" collapsed="false">
      <c r="A8" s="61" t="n">
        <v>2022</v>
      </c>
      <c r="B8" s="62" t="s">
        <v>48</v>
      </c>
      <c r="C8" s="63" t="n">
        <v>5689</v>
      </c>
      <c r="D8" s="64" t="n">
        <v>3477544.92</v>
      </c>
      <c r="E8" s="65" t="n">
        <v>1</v>
      </c>
      <c r="F8" s="66" t="n">
        <v>-169476.092199898</v>
      </c>
    </row>
    <row r="9" customFormat="false" ht="12.8" hidden="false" customHeight="false" outlineLevel="0" collapsed="false">
      <c r="A9" s="73"/>
      <c r="B9" s="74" t="s">
        <v>51</v>
      </c>
      <c r="C9" s="75" t="n">
        <v>7132</v>
      </c>
      <c r="D9" s="76" t="n">
        <v>92660.11</v>
      </c>
      <c r="E9" s="77" t="n">
        <v>2</v>
      </c>
      <c r="F9" s="78" t="n">
        <v>23533.1249999935</v>
      </c>
    </row>
    <row r="10" customFormat="false" ht="12.8" hidden="false" customHeight="false" outlineLevel="0" collapsed="false">
      <c r="A10" s="79" t="s">
        <v>92</v>
      </c>
      <c r="B10" s="80"/>
      <c r="C10" s="81" t="n">
        <v>12821</v>
      </c>
      <c r="D10" s="82" t="n">
        <v>3570205.03</v>
      </c>
      <c r="E10" s="83" t="n">
        <v>1</v>
      </c>
      <c r="F10" s="84" t="n">
        <v>-145942.967199905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2026-04-17T10:23:17Z</dcterms:created>
  <dc:creator/>
  <dc:description/>
  <dc:language>en-US</dc:language>
  <cp:lastModifiedBy/>
  <dcterms:modified xsi:type="dcterms:W3CDTF">2026-05-14T11:08:45Z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