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_Data" sheetId="1" state="visible" r:id="rId3"/>
    <sheet name="Pivot Table_All_Data_1" sheetId="2" state="visible" r:id="rId4"/>
    <sheet name="01_Top3_Decliners" sheetId="3" state="visible" r:id="rId5"/>
    <sheet name="02_Pacific_Crisis" sheetId="4" state="visible" r:id="rId6"/>
    <sheet name="03_YoY_Negative" sheetId="5" state="visible" r:id="rId7"/>
    <sheet name="04_Bikes_Drivers" sheetId="6" state="visible" r:id="rId8"/>
    <sheet name="05_High_Returns" sheetId="7" state="visible" r:id="rId9"/>
    <sheet name="06_Top2_2022_Fix" sheetId="8" state="visible" r:id="rId10"/>
    <sheet name="Dashboard_Index" sheetId="9" state="visible" r:id="rId11"/>
  </sheets>
  <calcPr iterateCount="100" refMode="A1" iterate="false" iterateDelta="0.001"/>
  <pivotCaches>
    <pivotCache cacheId="1" r:id="rId13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<sst xmlns="http://schemas.openxmlformats.org/spreadsheetml/2006/main" count="171" uniqueCount="57">
  <si>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</si>
  <si>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</si>
  <si>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</si>
  <si>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</si>
  <si>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</si>
  <si>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</si>
  <si>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</si>
  <si>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</si>
  <si>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</si>
  <si>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</si>
  <si>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</si>
  <si>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</si>
  <si>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</si>
  <si>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</si>
  <si>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</si>
  <si>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</si>
  <si>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</si>
  <si>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</si>
  <si>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</si>
  <si>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</si>
  <si>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</si>
  <si>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</si>
  <si>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</si>
  <si>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</si>
  <si>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returns_per_qty</t>
  </si>
  <si>
    <t xml:space="preserve">source</t>
  </si>
  <si>
    <t xml:space="preserve">0</t>
  </si>
  <si>
    <t xml:space="preserve">Overall</t>
  </si>
  <si>
    <t xml:space="preserve">Accessories</t>
  </si>
  <si>
    <t xml:space="preserve">Categories</t>
  </si>
  <si>
    <t xml:space="preserve">Bikes</t>
  </si>
  <si>
    <t xml:space="preserve">Clothing</t>
  </si>
  <si>
    <t xml:space="preserve">Europe</t>
  </si>
  <si>
    <t xml:space="preserve">Territory</t>
  </si>
  <si>
    <t xml:space="preserve">North America</t>
  </si>
  <si>
    <t xml:space="preserve">Pacific</t>
  </si>
  <si>
    <t xml:space="preserve">- all -</t>
  </si>
  <si>
    <t xml:space="preserve">Min - decline_rank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</si>
  <si>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</si>
  <si>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</si>
  <si>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</si>
  <si>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</si>
  <si>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</si>
  <si>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Average - returns_per_qty</t>
  </si>
  <si>
    <t xml:space="preserve">Sum - qty_yoy_pct</t>
  </si>
  <si>
    <t xml:space="preserve">Sum - profit_delta</t>
  </si>
  <si>
    <t xml:space="preserve">Total Result</t>
  </si>
  <si>
    <t xml:space="preserve">contintent</t>
  </si>
  <si>
    <t xml:space="preserve">all</t>
  </si>
  <si>
    <t xml:space="preserve">&lt;=3</t>
  </si>
  <si>
    <t xml:space="preserve">Sum - net_sales_value</t>
  </si>
  <si>
    <t xml:space="preserve">Avg profit_yoy_pct</t>
  </si>
  <si>
    <t xml:space="preserve">categiryname</t>
  </si>
  <si>
    <t xml:space="preserve">Sum - avg_margin_ratio</t>
  </si>
  <si>
    <t xml:space="preserve">&gt; 200</t>
  </si>
  <si>
    <t xml:space="preserve">Total Average - returns_per_qty</t>
  </si>
  <si>
    <t xml:space="preserve">&lt;=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</si>
</sst>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3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0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5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1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3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1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2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6:J10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axis="axisPage" dataField="1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25" hier="-1"/>
    <pageField fld="21" hier="-1"/>
    <pageField fld="20" hier="-1"/>
  </pageFields>
  <dataFields count="9">
    <dataField name="Sum - total_qty" fld="1" subtotal="sum" numFmtId="165"/>
    <dataField name="Sum - net_profit" fld="8" subtotal="sum" numFmtId="166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Average - profit_yoy_pct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2" width="13.4"/>
    <col collapsed="false" customWidth="false" hidden="false" outlineLevel="0" max="4" min="4" style="2" width="11.53"/>
    <col collapsed="false" customWidth="true" hidden="false" outlineLevel="0" max="6" min="5" style="2" width="16.74"/>
    <col collapsed="false" customWidth="false" hidden="false" outlineLevel="0" max="12" min="7" style="2" width="11.53"/>
    <col collapsed="false" customWidth="true" hidden="false" outlineLevel="0" max="13" min="13" style="2" width="12.98"/>
    <col collapsed="false" customWidth="true" hidden="false" outlineLevel="0" max="14" min="14" style="2" width="15.9"/>
    <col collapsed="false" customWidth="true" hidden="false" outlineLevel="0" max="15" min="15" style="3" width="13.4"/>
    <col collapsed="false" customWidth="true" hidden="false" outlineLevel="0" max="17" min="17" style="3" width="13.4"/>
    <col collapsed="false" customWidth="true" hidden="false" outlineLevel="0" max="22" min="22" style="3" width="13.12"/>
    <col collapsed="false" customWidth="true" hidden="false" outlineLevel="0" max="25" min="24" style="3" width="16.74"/>
    <col collapsed="false" customWidth="true" hidden="false" outlineLevel="0" max="26" min="26" style="3" width="10.2"/>
  </cols>
  <sheetData>
    <row r="1" customFormat="false" ht="12.8" hidden="false" customHeight="fals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</row>
    <row r="2" customFormat="false" ht="12.8" hidden="false" customHeight="false" outlineLevel="0" collapsed="false">
      <c r="A2" s="4" t="n">
        <v>2021</v>
      </c>
      <c r="B2" s="4" t="n">
        <v>36230</v>
      </c>
      <c r="C2" s="2" t="n">
        <v>9324203.79</v>
      </c>
      <c r="D2" s="2" t="n">
        <v>5357119.66</v>
      </c>
      <c r="E2" s="2" t="n">
        <v>3967084.13</v>
      </c>
      <c r="F2" s="2" t="n">
        <v>770</v>
      </c>
      <c r="G2" s="2" t="n">
        <v>276348.93</v>
      </c>
      <c r="H2" s="2" t="n">
        <v>35460</v>
      </c>
      <c r="I2" s="2" t="n">
        <v>3690735.2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42.55</v>
      </c>
      <c r="O2" s="3" t="s">
        <v>26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s">
        <v>26</v>
      </c>
      <c r="W2" s="3" t="n">
        <v>0</v>
      </c>
      <c r="X2" s="3" t="n">
        <v>0</v>
      </c>
      <c r="Y2" s="3" t="n">
        <v>0</v>
      </c>
      <c r="Z2" s="3" t="s">
        <v>27</v>
      </c>
    </row>
    <row r="3" customFormat="false" ht="12.8" hidden="false" customHeight="false" outlineLevel="0" collapsed="false">
      <c r="A3" s="4" t="n">
        <v>2022</v>
      </c>
      <c r="B3" s="4" t="n">
        <v>45314</v>
      </c>
      <c r="C3" s="2" t="n">
        <v>9185449.45</v>
      </c>
      <c r="D3" s="2" t="n">
        <v>5296420.47</v>
      </c>
      <c r="E3" s="2" t="n">
        <v>3889028.97</v>
      </c>
      <c r="F3" s="2" t="n">
        <v>972</v>
      </c>
      <c r="G3" s="2" t="n">
        <v>277297.17</v>
      </c>
      <c r="H3" s="2" t="n">
        <v>44342</v>
      </c>
      <c r="I3" s="2" t="n">
        <v>3611731.81</v>
      </c>
      <c r="J3" s="2" t="n">
        <v>36230</v>
      </c>
      <c r="K3" s="2" t="n">
        <v>3690735.2</v>
      </c>
      <c r="L3" s="2" t="n">
        <v>25.07</v>
      </c>
      <c r="M3" s="2" t="n">
        <v>-2.14</v>
      </c>
      <c r="N3" s="2" t="n">
        <v>42.34</v>
      </c>
      <c r="O3" s="3" t="s">
        <v>26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s">
        <v>26</v>
      </c>
      <c r="W3" s="3" t="n">
        <v>0</v>
      </c>
      <c r="X3" s="3" t="n">
        <v>0</v>
      </c>
      <c r="Y3" s="3" t="n">
        <v>0</v>
      </c>
      <c r="Z3" s="3" t="s">
        <v>27</v>
      </c>
    </row>
    <row r="4" customFormat="false" ht="12.8" hidden="false" customHeight="false" outlineLevel="0" collapsed="false">
      <c r="A4" s="4" t="n">
        <v>2021</v>
      </c>
      <c r="B4" s="4" t="n">
        <v>25316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250936.12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3" t="s">
        <v>28</v>
      </c>
      <c r="P4" s="3" t="n">
        <v>399342.117799956</v>
      </c>
      <c r="Q4" s="3" t="n">
        <v>148405.994799995</v>
      </c>
      <c r="R4" s="3" t="n">
        <v>2.68812185758366</v>
      </c>
      <c r="S4" s="3" t="n">
        <v>0</v>
      </c>
      <c r="T4" s="3" t="n">
        <v>0</v>
      </c>
      <c r="U4" s="3" t="n">
        <v>6</v>
      </c>
      <c r="V4" s="3" t="s">
        <v>26</v>
      </c>
      <c r="W4" s="3" t="n">
        <v>0</v>
      </c>
      <c r="X4" s="3" t="n">
        <v>0</v>
      </c>
      <c r="Y4" s="3" t="n">
        <v>0</v>
      </c>
      <c r="Z4" s="3" t="s">
        <v>29</v>
      </c>
    </row>
    <row r="5" customFormat="false" ht="12.8" hidden="false" customHeight="false" outlineLevel="0" collapsed="false">
      <c r="A5" s="4" t="n">
        <v>2022</v>
      </c>
      <c r="B5" s="4" t="n">
        <v>32493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318823.94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 t="s">
        <v>28</v>
      </c>
      <c r="P5" s="3" t="n">
        <v>507330.989199908</v>
      </c>
      <c r="Q5" s="3" t="n">
        <v>188507.051199988</v>
      </c>
      <c r="R5" s="3" t="n">
        <v>2.68828158743257</v>
      </c>
      <c r="S5" s="3" t="n">
        <v>7177</v>
      </c>
      <c r="T5" s="3" t="n">
        <v>67887.8149999597</v>
      </c>
      <c r="U5" s="3" t="n">
        <v>3</v>
      </c>
      <c r="V5" s="3" t="s">
        <v>26</v>
      </c>
      <c r="W5" s="3" t="n">
        <v>0</v>
      </c>
      <c r="X5" s="3" t="n">
        <v>0</v>
      </c>
      <c r="Y5" s="3" t="n">
        <v>0</v>
      </c>
      <c r="Z5" s="3" t="s">
        <v>29</v>
      </c>
    </row>
    <row r="6" customFormat="false" ht="12.8" hidden="false" customHeight="false" outlineLevel="0" collapsed="false">
      <c r="A6" s="4" t="n">
        <v>2021</v>
      </c>
      <c r="B6" s="4" t="n">
        <v>5610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3647021.02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3" t="s">
        <v>30</v>
      </c>
      <c r="P6" s="3" t="n">
        <v>8768706.98490015</v>
      </c>
      <c r="Q6" s="3" t="n">
        <v>5121685.96939992</v>
      </c>
      <c r="R6" s="3" t="n">
        <v>1.70568672635527</v>
      </c>
      <c r="S6" s="3" t="n">
        <v>0</v>
      </c>
      <c r="T6" s="3" t="n">
        <v>0</v>
      </c>
      <c r="U6" s="3" t="n">
        <v>4</v>
      </c>
      <c r="V6" s="3" t="s">
        <v>26</v>
      </c>
      <c r="W6" s="3" t="n">
        <v>0</v>
      </c>
      <c r="X6" s="3" t="n">
        <v>0</v>
      </c>
      <c r="Y6" s="3" t="n">
        <v>0</v>
      </c>
      <c r="Z6" s="3" t="s">
        <v>29</v>
      </c>
    </row>
    <row r="7" customFormat="false" ht="12.8" hidden="false" customHeight="false" outlineLevel="0" collapsed="false">
      <c r="A7" s="4" t="n">
        <v>2022</v>
      </c>
      <c r="B7" s="4" t="n">
        <v>5689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3477544.92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 t="s">
        <v>30</v>
      </c>
      <c r="P7" s="3" t="n">
        <v>8468854.53000019</v>
      </c>
      <c r="Q7" s="3" t="n">
        <v>4991309.60669985</v>
      </c>
      <c r="R7" s="3" t="n">
        <v>1.6921437844365</v>
      </c>
      <c r="S7" s="3" t="n">
        <v>79</v>
      </c>
      <c r="T7" s="3" t="n">
        <v>-169476.092199898</v>
      </c>
      <c r="U7" s="3" t="n">
        <v>1</v>
      </c>
      <c r="V7" s="3" t="s">
        <v>26</v>
      </c>
      <c r="W7" s="3" t="n">
        <v>0</v>
      </c>
      <c r="X7" s="3" t="n">
        <v>0</v>
      </c>
      <c r="Y7" s="3" t="n">
        <v>0</v>
      </c>
      <c r="Z7" s="3" t="s">
        <v>29</v>
      </c>
    </row>
    <row r="8" customFormat="false" ht="12.8" hidden="false" customHeight="false" outlineLevel="0" collapsed="false">
      <c r="A8" s="4" t="n">
        <v>2021</v>
      </c>
      <c r="B8" s="4" t="n">
        <v>5304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69126.99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 t="s">
        <v>31</v>
      </c>
      <c r="P8" s="3" t="n">
        <v>156154.688999999</v>
      </c>
      <c r="Q8" s="3" t="n">
        <v>87027.7005000003</v>
      </c>
      <c r="R8" s="3" t="n">
        <v>1.89626322957643</v>
      </c>
      <c r="S8" s="3" t="n">
        <v>0</v>
      </c>
      <c r="T8" s="3" t="n">
        <v>0</v>
      </c>
      <c r="U8" s="3" t="n">
        <v>5</v>
      </c>
      <c r="V8" s="3" t="s">
        <v>26</v>
      </c>
      <c r="W8" s="3" t="n">
        <v>0</v>
      </c>
      <c r="X8" s="3" t="n">
        <v>0</v>
      </c>
      <c r="Y8" s="3" t="n">
        <v>0</v>
      </c>
      <c r="Z8" s="3" t="s">
        <v>29</v>
      </c>
    </row>
    <row r="9" customFormat="false" ht="12.8" hidden="false" customHeight="false" outlineLevel="0" collapsed="false">
      <c r="A9" s="4" t="n">
        <v>2022</v>
      </c>
      <c r="B9" s="4" t="n">
        <v>7132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92660.11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3" t="s">
        <v>31</v>
      </c>
      <c r="P9" s="3" t="n">
        <v>209263.928099994</v>
      </c>
      <c r="Q9" s="3" t="n">
        <v>116603.814600002</v>
      </c>
      <c r="R9" s="3" t="n">
        <v>1.88845742716933</v>
      </c>
      <c r="S9" s="3" t="n">
        <v>1828</v>
      </c>
      <c r="T9" s="3" t="n">
        <v>23533.1249999935</v>
      </c>
      <c r="U9" s="3" t="n">
        <v>2</v>
      </c>
      <c r="V9" s="3" t="s">
        <v>26</v>
      </c>
      <c r="W9" s="3" t="n">
        <v>0</v>
      </c>
      <c r="X9" s="3" t="n">
        <v>0</v>
      </c>
      <c r="Y9" s="3" t="n">
        <v>0</v>
      </c>
      <c r="Z9" s="3" t="s">
        <v>29</v>
      </c>
    </row>
    <row r="10" customFormat="false" ht="12.8" hidden="false" customHeight="false" outlineLevel="0" collapsed="false">
      <c r="A10" s="4" t="n">
        <v>2021</v>
      </c>
      <c r="B10" s="1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3" t="s">
        <v>26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s">
        <v>32</v>
      </c>
      <c r="W10" s="3" t="n">
        <v>864233</v>
      </c>
      <c r="X10" s="3" t="n">
        <v>3211651.83251283</v>
      </c>
      <c r="Y10" s="3" t="n">
        <v>284.275128347168</v>
      </c>
      <c r="Z10" s="3" t="s">
        <v>33</v>
      </c>
    </row>
    <row r="11" customFormat="false" ht="12.8" hidden="false" customHeight="false" outlineLevel="0" collapsed="false">
      <c r="A11" s="4" t="n">
        <v>2021</v>
      </c>
      <c r="B11" s="1" t="n">
        <v>0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3" t="s">
        <v>26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s">
        <v>34</v>
      </c>
      <c r="W11" s="3" t="n">
        <v>2218218</v>
      </c>
      <c r="X11" s="3" t="n">
        <v>1781554.47393563</v>
      </c>
      <c r="Y11" s="3" t="n">
        <v>190.12575110637</v>
      </c>
      <c r="Z11" s="3" t="s">
        <v>33</v>
      </c>
    </row>
    <row r="12" customFormat="false" ht="12.8" hidden="false" customHeight="false" outlineLevel="0" collapsed="false">
      <c r="A12" s="4" t="n">
        <v>2021</v>
      </c>
      <c r="B12" s="1" t="n">
        <v>0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3" t="s">
        <v>26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s">
        <v>35</v>
      </c>
      <c r="W12" s="3" t="n">
        <v>1249024</v>
      </c>
      <c r="X12" s="3" t="n">
        <v>4270567.72329797</v>
      </c>
      <c r="Y12" s="3" t="n">
        <v>375.741416680663</v>
      </c>
      <c r="Z12" s="3" t="s">
        <v>33</v>
      </c>
    </row>
    <row r="13" customFormat="false" ht="12.8" hidden="false" customHeight="false" outlineLevel="0" collapsed="false">
      <c r="A13" s="4" t="n">
        <v>2022</v>
      </c>
      <c r="B13" s="1" t="n">
        <v>0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3" t="s">
        <v>26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s">
        <v>32</v>
      </c>
      <c r="W13" s="3" t="n">
        <v>1353420</v>
      </c>
      <c r="X13" s="3" t="n">
        <v>3218911.38403874</v>
      </c>
      <c r="Y13" s="3" t="n">
        <v>215.69839258202</v>
      </c>
      <c r="Z13" s="3" t="s">
        <v>33</v>
      </c>
    </row>
    <row r="14" customFormat="false" ht="12.8" hidden="false" customHeight="false" outlineLevel="0" collapsed="false">
      <c r="A14" s="4" t="n">
        <v>2022</v>
      </c>
      <c r="B14" s="1" t="n">
        <v>0</v>
      </c>
      <c r="C14" s="2" t="n">
        <v>0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3" t="s">
        <v>26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s">
        <v>34</v>
      </c>
      <c r="W14" s="3" t="n">
        <v>3496046</v>
      </c>
      <c r="X14" s="3" t="n">
        <v>3293496.74615632</v>
      </c>
      <c r="Y14" s="3" t="n">
        <v>175.669374322156</v>
      </c>
      <c r="Z14" s="3" t="s">
        <v>33</v>
      </c>
    </row>
    <row r="15" customFormat="false" ht="12.8" hidden="false" customHeight="false" outlineLevel="0" collapsed="false">
      <c r="A15" s="4" t="n">
        <v>2022</v>
      </c>
      <c r="B15" s="1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3" t="s">
        <v>26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s">
        <v>35</v>
      </c>
      <c r="W15" s="3" t="n">
        <v>1944835</v>
      </c>
      <c r="X15" s="3" t="n">
        <v>34930.8751287839</v>
      </c>
      <c r="Y15" s="3" t="n">
        <v>253.814111575181</v>
      </c>
      <c r="Z15" s="3" t="s">
        <v>33</v>
      </c>
    </row>
    <row r="20" customFormat="false" ht="12.8" hidden="false" customHeight="false" outlineLevel="0" collapsed="false">
      <c r="B20" s="4"/>
    </row>
    <row r="50" customFormat="false" ht="12.8" hidden="false" customHeight="false" outlineLevel="0" collapsed="false">
      <c r="B50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1.32"/>
    <col collapsed="false" customWidth="true" hidden="false" outlineLevel="0" max="2" min="2" style="3" width="13.95"/>
    <col collapsed="false" customWidth="true" hidden="false" outlineLevel="0" max="3" min="3" style="3" width="14.51"/>
    <col collapsed="false" customWidth="true" hidden="false" outlineLevel="0" max="4" min="4" style="3" width="24.25"/>
    <col collapsed="false" customWidth="true" hidden="false" outlineLevel="0" max="5" min="5" style="3" width="21.32"/>
    <col collapsed="false" customWidth="true" hidden="false" outlineLevel="0" max="6" min="6" style="3" width="16.31"/>
    <col collapsed="false" customWidth="true" hidden="false" outlineLevel="0" max="7" min="7" style="3" width="22.44"/>
    <col collapsed="false" customWidth="true" hidden="false" outlineLevel="0" max="8" min="8" style="3" width="21.32"/>
    <col collapsed="false" customWidth="true" hidden="false" outlineLevel="0" max="9" min="9" style="3" width="16.88"/>
    <col collapsed="false" customWidth="true" hidden="false" outlineLevel="0" max="10" min="10" style="3" width="16.74"/>
    <col collapsed="false" customWidth="true" hidden="false" outlineLevel="0" max="11" min="11" style="0" width="20.07"/>
    <col collapsed="false" customWidth="true" hidden="false" outlineLevel="0" max="12" min="12" style="0" width="14.51"/>
    <col collapsed="false" customWidth="true" hidden="false" outlineLevel="0" max="13" min="13" style="0" width="24.25"/>
    <col collapsed="false" customWidth="true" hidden="false" outlineLevel="0" max="14" min="14" style="0" width="21.32"/>
    <col collapsed="false" customWidth="true" hidden="false" outlineLevel="0" max="15" min="15" style="0" width="16.31"/>
    <col collapsed="false" customWidth="true" hidden="false" outlineLevel="0" max="16" min="16" style="0" width="22.44"/>
    <col collapsed="false" customWidth="true" hidden="false" outlineLevel="0" max="17" min="17" style="0" width="21.32"/>
    <col collapsed="false" customWidth="true" hidden="false" outlineLevel="0" max="18" min="18" style="0" width="16.88"/>
    <col collapsed="false" customWidth="true" hidden="false" outlineLevel="0" max="19" min="19" style="0" width="17.29"/>
    <col collapsed="false" customWidth="true" hidden="false" outlineLevel="0" max="20" min="20" style="0" width="13.95"/>
    <col collapsed="false" customWidth="true" hidden="false" outlineLevel="0" max="21" min="21" style="0" width="14.51"/>
    <col collapsed="false" customWidth="true" hidden="false" outlineLevel="0" max="22" min="22" style="0" width="24.25"/>
    <col collapsed="false" customWidth="true" hidden="false" outlineLevel="0" max="23" min="23" style="0" width="21.32"/>
    <col collapsed="false" customWidth="true" hidden="false" outlineLevel="0" max="24" min="24" style="0" width="16.31"/>
    <col collapsed="false" customWidth="true" hidden="false" outlineLevel="0" max="25" min="25" style="0" width="22.44"/>
    <col collapsed="false" customWidth="true" hidden="false" outlineLevel="0" max="26" min="26" style="0" width="21.32"/>
    <col collapsed="false" customWidth="true" hidden="false" outlineLevel="0" max="27" min="27" style="0" width="16.88"/>
    <col collapsed="false" customWidth="true" hidden="false" outlineLevel="0" max="28" min="28" style="0" width="16.74"/>
    <col collapsed="false" customWidth="true" hidden="false" outlineLevel="0" max="29" min="29" style="0" width="19.52"/>
    <col collapsed="false" customWidth="true" hidden="false" outlineLevel="0" max="30" min="30" style="0" width="20.35"/>
    <col collapsed="false" customWidth="true" hidden="false" outlineLevel="0" max="31" min="31" style="0" width="30.65"/>
    <col collapsed="false" customWidth="true" hidden="false" outlineLevel="0" max="32" min="32" style="0" width="27.3"/>
    <col collapsed="false" customWidth="true" hidden="false" outlineLevel="0" max="33" min="33" style="0" width="22.3"/>
    <col collapsed="false" customWidth="true" hidden="false" outlineLevel="0" max="34" min="34" style="0" width="28.56"/>
    <col collapsed="false" customWidth="true" hidden="false" outlineLevel="0" max="35" min="35" style="0" width="27.3"/>
    <col collapsed="false" customWidth="true" hidden="false" outlineLevel="0" max="36" min="36" style="0" width="22.44"/>
    <col collapsed="false" customWidth="true" hidden="false" outlineLevel="0" max="37" min="37" style="0" width="21.88"/>
  </cols>
  <sheetData>
    <row r="1" customFormat="false" ht="12.8" hidden="false" customHeight="fals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</row>
    <row r="2" customFormat="false" ht="12.8" hidden="false" customHeight="false" outlineLevel="0" collapsed="false">
      <c r="A2" s="7" t="s">
        <v>25</v>
      </c>
      <c r="B2" s="8" t="s">
        <v>36</v>
      </c>
      <c r="C2" s="0"/>
      <c r="D2" s="0"/>
      <c r="E2" s="0"/>
      <c r="F2" s="0"/>
      <c r="G2" s="0"/>
      <c r="H2" s="0"/>
      <c r="I2" s="0"/>
      <c r="J2" s="0"/>
    </row>
    <row r="3" customFormat="false" ht="12.8" hidden="false" customHeight="false" outlineLevel="0" collapsed="false">
      <c r="A3" s="7" t="s">
        <v>21</v>
      </c>
      <c r="B3" s="8" t="s">
        <v>36</v>
      </c>
      <c r="C3" s="0"/>
      <c r="D3" s="0"/>
      <c r="E3" s="0"/>
      <c r="F3" s="0"/>
      <c r="G3" s="0"/>
      <c r="H3" s="0"/>
      <c r="I3" s="0"/>
      <c r="J3" s="0"/>
    </row>
    <row r="4" customFormat="false" ht="12.8" hidden="false" customHeight="false" outlineLevel="0" collapsed="false">
      <c r="A4" s="7" t="s">
        <v>37</v>
      </c>
      <c r="B4" s="8" t="s">
        <v>36</v>
      </c>
      <c r="C4" s="0"/>
      <c r="D4" s="0"/>
      <c r="E4" s="0"/>
      <c r="F4" s="0"/>
      <c r="G4" s="0"/>
      <c r="H4" s="0"/>
      <c r="I4" s="0"/>
      <c r="J4" s="0"/>
    </row>
    <row r="5" customFormat="false" ht="12.8" hidden="false" customHeight="fals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</row>
    <row r="6" customFormat="false" ht="12.8" hidden="false" customHeight="false" outlineLevel="0" collapsed="false">
      <c r="A6" s="9"/>
      <c r="B6" s="10" t="s">
        <v>38</v>
      </c>
      <c r="C6" s="11"/>
      <c r="D6" s="11"/>
      <c r="E6" s="11"/>
      <c r="F6" s="11"/>
      <c r="G6" s="11"/>
      <c r="H6" s="11"/>
      <c r="I6" s="11"/>
      <c r="J6" s="12"/>
    </row>
    <row r="7" customFormat="false" ht="12.8" hidden="false" customHeight="false" outlineLevel="0" collapsed="false">
      <c r="A7" s="13" t="s">
        <v>0</v>
      </c>
      <c r="B7" s="14" t="s">
        <v>39</v>
      </c>
      <c r="C7" s="15" t="s">
        <v>40</v>
      </c>
      <c r="D7" s="15" t="s">
        <v>41</v>
      </c>
      <c r="E7" s="15" t="s">
        <v>42</v>
      </c>
      <c r="F7" s="15" t="s">
        <v>37</v>
      </c>
      <c r="G7" s="15" t="s">
        <v>43</v>
      </c>
      <c r="H7" s="15" t="s">
        <v>42</v>
      </c>
      <c r="I7" s="15" t="s">
        <v>44</v>
      </c>
      <c r="J7" s="16" t="s">
        <v>45</v>
      </c>
    </row>
    <row r="8" customFormat="false" ht="12.8" hidden="false" customHeight="false" outlineLevel="0" collapsed="false">
      <c r="A8" s="17" t="n">
        <v>2021</v>
      </c>
      <c r="B8" s="18" t="n">
        <v>72460</v>
      </c>
      <c r="C8" s="19" t="n">
        <v>7657819.33</v>
      </c>
      <c r="D8" s="19" t="n">
        <v>6.07857142857143</v>
      </c>
      <c r="E8" s="19" t="n">
        <v>0</v>
      </c>
      <c r="F8" s="20" t="n">
        <v>0</v>
      </c>
      <c r="G8" s="20" t="n">
        <v>121.448899447743</v>
      </c>
      <c r="H8" s="19" t="n">
        <v>0</v>
      </c>
      <c r="I8" s="19" t="n">
        <v>0</v>
      </c>
      <c r="J8" s="21" t="n">
        <v>0</v>
      </c>
    </row>
    <row r="9" customFormat="false" ht="12.8" hidden="false" customHeight="false" outlineLevel="0" collapsed="false">
      <c r="A9" s="22" t="n">
        <v>2022</v>
      </c>
      <c r="B9" s="23" t="n">
        <v>90628</v>
      </c>
      <c r="C9" s="24" t="n">
        <v>7500760.78</v>
      </c>
      <c r="D9" s="24" t="n">
        <v>6.04857142857143</v>
      </c>
      <c r="E9" s="24" t="n">
        <v>-0.305714285714286</v>
      </c>
      <c r="F9" s="25" t="n">
        <v>0</v>
      </c>
      <c r="G9" s="25" t="n">
        <v>92.1688397827653</v>
      </c>
      <c r="H9" s="24" t="n">
        <v>-2.14</v>
      </c>
      <c r="I9" s="24" t="n">
        <v>25.07</v>
      </c>
      <c r="J9" s="26" t="n">
        <v>-78055.1521999448</v>
      </c>
    </row>
    <row r="10" customFormat="false" ht="12.8" hidden="false" customHeight="false" outlineLevel="0" collapsed="false">
      <c r="A10" s="27" t="s">
        <v>46</v>
      </c>
      <c r="B10" s="28" t="n">
        <v>163088</v>
      </c>
      <c r="C10" s="29" t="n">
        <v>15158580.11</v>
      </c>
      <c r="D10" s="29" t="n">
        <v>6.06357142857143</v>
      </c>
      <c r="E10" s="29" t="n">
        <v>-0.152857142857143</v>
      </c>
      <c r="F10" s="30" t="n">
        <v>0</v>
      </c>
      <c r="G10" s="30" t="n">
        <v>106.808869615254</v>
      </c>
      <c r="H10" s="29" t="n">
        <v>-2.14</v>
      </c>
      <c r="I10" s="29" t="n">
        <v>25.07</v>
      </c>
      <c r="J10" s="31" t="n">
        <v>-78055.1521999448</v>
      </c>
    </row>
    <row r="11" customFormat="false" ht="12.8" hidden="false" customHeight="false" outlineLevel="0" collapsed="false">
      <c r="A11" s="0"/>
      <c r="B11" s="0"/>
      <c r="C11" s="0"/>
      <c r="D11" s="0"/>
      <c r="E11" s="0"/>
      <c r="F11" s="0"/>
      <c r="G11" s="0"/>
      <c r="H11" s="0"/>
      <c r="I11" s="0"/>
      <c r="J11" s="0"/>
    </row>
    <row r="12" customFormat="false" ht="12.8" hidden="false" customHeight="false" outlineLevel="0" collapsed="false">
      <c r="A12" s="0"/>
      <c r="B12" s="0"/>
      <c r="C12" s="0"/>
      <c r="D12" s="0"/>
      <c r="E12" s="0"/>
      <c r="F12" s="0"/>
      <c r="G12" s="0"/>
      <c r="H12" s="0"/>
      <c r="I12" s="0"/>
      <c r="J12" s="0"/>
    </row>
    <row r="13" customFormat="false" ht="12.8" hidden="false" customHeight="false" outlineLevel="0" collapsed="false">
      <c r="A13" s="0"/>
      <c r="B13" s="0"/>
      <c r="C13" s="0"/>
      <c r="D13" s="0"/>
      <c r="E13" s="0"/>
      <c r="F13" s="0"/>
      <c r="G13" s="0"/>
      <c r="H13" s="0"/>
      <c r="I13" s="0"/>
      <c r="J13" s="0"/>
    </row>
    <row r="14" customFormat="false" ht="12.8" hidden="false" customHeight="false" outlineLevel="0" collapsed="false">
      <c r="A14" s="0"/>
      <c r="B14" s="0"/>
      <c r="C14" s="0"/>
      <c r="D14" s="0"/>
      <c r="E14" s="0"/>
      <c r="F14" s="0"/>
      <c r="G14" s="0"/>
      <c r="H14" s="0"/>
      <c r="I14" s="0"/>
      <c r="J14" s="0"/>
    </row>
    <row r="15" customFormat="false" ht="12.8" hidden="false" customHeight="false" outlineLevel="0" collapsed="false">
      <c r="A15" s="0"/>
      <c r="B15" s="0"/>
      <c r="C15" s="0"/>
      <c r="D15" s="0"/>
      <c r="E15" s="0"/>
      <c r="F15" s="0"/>
      <c r="G15" s="0"/>
      <c r="H15" s="0"/>
      <c r="I15" s="0"/>
      <c r="J15" s="0"/>
    </row>
    <row r="16" customFormat="false" ht="12.8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12.98"/>
    <col collapsed="false" customWidth="true" hidden="false" outlineLevel="0" max="3" min="3" style="0" width="13.95"/>
    <col collapsed="false" customWidth="true" hidden="false" outlineLevel="0" max="4" min="4" style="0" width="14.51"/>
    <col collapsed="false" customWidth="true" hidden="false" outlineLevel="0" max="5" min="5" style="0" width="16.31"/>
    <col collapsed="false" customWidth="true" hidden="false" outlineLevel="0" max="6" min="6" style="0" width="17.29"/>
  </cols>
  <sheetData>
    <row r="2" customFormat="false" ht="12.8" hidden="false" customHeight="false" outlineLevel="0" collapsed="false">
      <c r="A2" s="0" t="s">
        <v>25</v>
      </c>
      <c r="B2" s="32" t="s">
        <v>29</v>
      </c>
    </row>
    <row r="3" customFormat="false" ht="12.8" hidden="false" customHeight="false" outlineLevel="0" collapsed="false">
      <c r="A3" s="0" t="s">
        <v>47</v>
      </c>
      <c r="B3" s="32" t="s">
        <v>48</v>
      </c>
    </row>
    <row r="4" customFormat="false" ht="12.8" hidden="false" customHeight="false" outlineLevel="0" collapsed="false">
      <c r="A4" s="0" t="s">
        <v>20</v>
      </c>
      <c r="B4" s="32" t="s">
        <v>49</v>
      </c>
    </row>
    <row r="6" customFormat="false" ht="12.8" hidden="false" customHeight="false" outlineLevel="0" collapsed="false">
      <c r="A6" s="33"/>
      <c r="B6" s="34"/>
      <c r="C6" s="10" t="s">
        <v>38</v>
      </c>
      <c r="D6" s="11"/>
      <c r="E6" s="11"/>
      <c r="F6" s="12"/>
    </row>
    <row r="7" customFormat="false" ht="12.8" hidden="false" customHeight="false" outlineLevel="0" collapsed="false">
      <c r="A7" s="13" t="s">
        <v>0</v>
      </c>
      <c r="B7" s="35" t="s">
        <v>14</v>
      </c>
      <c r="C7" s="14" t="s">
        <v>39</v>
      </c>
      <c r="D7" s="15" t="s">
        <v>40</v>
      </c>
      <c r="E7" s="15" t="s">
        <v>37</v>
      </c>
      <c r="F7" s="16" t="s">
        <v>45</v>
      </c>
    </row>
    <row r="8" customFormat="false" ht="12.8" hidden="false" customHeight="false" outlineLevel="0" collapsed="false">
      <c r="A8" s="17" t="n">
        <v>2022</v>
      </c>
      <c r="B8" s="36" t="s">
        <v>28</v>
      </c>
      <c r="C8" s="18" t="n">
        <v>32493</v>
      </c>
      <c r="D8" s="19" t="n">
        <v>318823.94</v>
      </c>
      <c r="E8" s="20" t="n">
        <v>3</v>
      </c>
      <c r="F8" s="21" t="n">
        <v>67887.8149999597</v>
      </c>
    </row>
    <row r="9" customFormat="false" ht="12.8" hidden="false" customHeight="false" outlineLevel="0" collapsed="false">
      <c r="A9" s="22"/>
      <c r="B9" s="37" t="s">
        <v>30</v>
      </c>
      <c r="C9" s="38" t="n">
        <v>5689</v>
      </c>
      <c r="D9" s="39" t="n">
        <v>3477544.92</v>
      </c>
      <c r="E9" s="40" t="n">
        <v>1</v>
      </c>
      <c r="F9" s="41" t="n">
        <v>-169476.092199898</v>
      </c>
    </row>
    <row r="10" customFormat="false" ht="12.8" hidden="false" customHeight="false" outlineLevel="0" collapsed="false">
      <c r="A10" s="42"/>
      <c r="B10" s="43" t="s">
        <v>31</v>
      </c>
      <c r="C10" s="23" t="n">
        <v>7132</v>
      </c>
      <c r="D10" s="24" t="n">
        <v>92660.11</v>
      </c>
      <c r="E10" s="25" t="n">
        <v>2</v>
      </c>
      <c r="F10" s="26" t="n">
        <v>23533.1249999935</v>
      </c>
    </row>
    <row r="11" customFormat="false" ht="12.8" hidden="false" customHeight="false" outlineLevel="0" collapsed="false">
      <c r="A11" s="44" t="s">
        <v>46</v>
      </c>
      <c r="B11" s="45"/>
      <c r="C11" s="28" t="n">
        <v>45314</v>
      </c>
      <c r="D11" s="29" t="n">
        <v>3889028.97</v>
      </c>
      <c r="E11" s="30" t="n">
        <v>1</v>
      </c>
      <c r="F11" s="31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22.44"/>
    <col collapsed="false" customWidth="true" hidden="false" outlineLevel="0" max="3" min="3" style="0" width="20.07"/>
  </cols>
  <sheetData>
    <row r="2" customFormat="false" ht="12.8" hidden="false" customHeight="false" outlineLevel="0" collapsed="false">
      <c r="A2" s="0" t="s">
        <v>25</v>
      </c>
      <c r="B2" s="32" t="s">
        <v>33</v>
      </c>
    </row>
    <row r="3" customFormat="false" ht="12.8" hidden="false" customHeight="false" outlineLevel="0" collapsed="false">
      <c r="A3" s="0" t="s">
        <v>47</v>
      </c>
      <c r="B3" s="32" t="s">
        <v>35</v>
      </c>
    </row>
    <row r="4" customFormat="false" ht="12.8" hidden="false" customHeight="false" outlineLevel="0" collapsed="false">
      <c r="A4" s="0" t="s">
        <v>20</v>
      </c>
      <c r="B4" s="32" t="s">
        <v>48</v>
      </c>
    </row>
    <row r="6" customFormat="false" ht="12.8" hidden="false" customHeight="false" outlineLevel="0" collapsed="false">
      <c r="A6" s="9"/>
      <c r="B6" s="11"/>
      <c r="C6" s="12"/>
    </row>
    <row r="7" customFormat="false" ht="12.8" hidden="false" customHeight="false" outlineLevel="0" collapsed="false">
      <c r="A7" s="13" t="s">
        <v>0</v>
      </c>
      <c r="B7" s="15" t="s">
        <v>43</v>
      </c>
      <c r="C7" s="16" t="s">
        <v>50</v>
      </c>
    </row>
    <row r="8" customFormat="false" ht="12.8" hidden="false" customHeight="false" outlineLevel="0" collapsed="false">
      <c r="A8" s="17" t="n">
        <v>2021</v>
      </c>
      <c r="B8" s="20" t="n">
        <v>375.741416680663</v>
      </c>
      <c r="C8" s="21" t="n">
        <v>4270567.72329797</v>
      </c>
    </row>
    <row r="9" customFormat="false" ht="12.8" hidden="false" customHeight="false" outlineLevel="0" collapsed="false">
      <c r="A9" s="22" t="n">
        <v>2022</v>
      </c>
      <c r="B9" s="25" t="n">
        <v>253.814111575181</v>
      </c>
      <c r="C9" s="26" t="n">
        <v>34930.8751287839</v>
      </c>
    </row>
    <row r="10" customFormat="false" ht="12.8" hidden="false" customHeight="false" outlineLevel="0" collapsed="false">
      <c r="A10" s="27" t="s">
        <v>46</v>
      </c>
      <c r="B10" s="30" t="n">
        <v>314.777764127922</v>
      </c>
      <c r="C10" s="31" t="n">
        <v>4305498.59842676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6.74"/>
    <col collapsed="false" customWidth="true" hidden="false" outlineLevel="0" max="2" min="2" style="0" width="13.95"/>
    <col collapsed="false" customWidth="true" hidden="false" outlineLevel="0" max="3" min="3" style="0" width="14.51"/>
    <col collapsed="false" customWidth="true" hidden="false" outlineLevel="0" max="4" min="4" style="0" width="24.25"/>
    <col collapsed="false" customWidth="true" hidden="false" outlineLevel="0" max="6" min="5" style="0" width="21.32"/>
    <col collapsed="false" customWidth="true" hidden="false" outlineLevel="0" max="7" min="7" style="0" width="16.88"/>
  </cols>
  <sheetData>
    <row r="2" customFormat="false" ht="12.8" hidden="false" customHeight="false" outlineLevel="0" collapsed="false">
      <c r="A2" s="0" t="s">
        <v>25</v>
      </c>
      <c r="B2" s="32" t="s">
        <v>33</v>
      </c>
    </row>
    <row r="3" customFormat="false" ht="12.8" hidden="false" customHeight="false" outlineLevel="0" collapsed="false">
      <c r="A3" s="0" t="s">
        <v>47</v>
      </c>
      <c r="B3" s="32" t="s">
        <v>35</v>
      </c>
    </row>
    <row r="4" customFormat="false" ht="12.8" hidden="false" customHeight="false" outlineLevel="0" collapsed="false">
      <c r="A4" s="0" t="s">
        <v>51</v>
      </c>
      <c r="B4" s="46" t="n">
        <v>-2.14</v>
      </c>
    </row>
    <row r="6" customFormat="false" ht="12.8" hidden="false" customHeight="false" outlineLevel="0" collapsed="false">
      <c r="A6" s="9"/>
      <c r="B6" s="10" t="s">
        <v>38</v>
      </c>
      <c r="C6" s="11"/>
      <c r="D6" s="11"/>
      <c r="E6" s="11"/>
      <c r="F6" s="11"/>
      <c r="G6" s="47"/>
    </row>
    <row r="7" customFormat="false" ht="12.8" hidden="false" customHeight="false" outlineLevel="0" collapsed="false">
      <c r="A7" s="13" t="s">
        <v>0</v>
      </c>
      <c r="B7" s="14" t="s">
        <v>39</v>
      </c>
      <c r="C7" s="15" t="s">
        <v>40</v>
      </c>
      <c r="D7" s="15" t="s">
        <v>41</v>
      </c>
      <c r="E7" s="15" t="s">
        <v>42</v>
      </c>
      <c r="F7" s="15" t="s">
        <v>42</v>
      </c>
      <c r="G7" s="48" t="s">
        <v>44</v>
      </c>
    </row>
    <row r="8" customFormat="false" ht="12.8" hidden="false" customHeight="false" outlineLevel="0" collapsed="false">
      <c r="A8" s="17" t="n">
        <v>2022</v>
      </c>
      <c r="B8" s="49" t="n">
        <v>45314</v>
      </c>
      <c r="C8" s="50" t="n">
        <v>3611731.81</v>
      </c>
      <c r="D8" s="50" t="n">
        <v>42.34</v>
      </c>
      <c r="E8" s="50" t="n">
        <v>-2.14</v>
      </c>
      <c r="F8" s="50" t="n">
        <v>-2.14</v>
      </c>
      <c r="G8" s="51" t="n">
        <v>25.07</v>
      </c>
    </row>
    <row r="9" customFormat="false" ht="12.8" hidden="false" customHeight="false" outlineLevel="0" collapsed="false">
      <c r="A9" s="27" t="s">
        <v>46</v>
      </c>
      <c r="B9" s="28" t="n">
        <v>45314</v>
      </c>
      <c r="C9" s="29" t="n">
        <v>3611731.81</v>
      </c>
      <c r="D9" s="29" t="n">
        <v>42.34</v>
      </c>
      <c r="E9" s="29" t="n">
        <v>-2.14</v>
      </c>
      <c r="F9" s="29" t="n">
        <v>-2.14</v>
      </c>
      <c r="G9" s="52" t="n">
        <v>25.07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1.86"/>
    <col collapsed="false" customWidth="true" hidden="false" outlineLevel="0" max="2" min="2" style="0" width="13.95"/>
    <col collapsed="false" customWidth="true" hidden="false" outlineLevel="0" max="3" min="3" style="0" width="14.51"/>
    <col collapsed="false" customWidth="true" hidden="false" outlineLevel="0" max="4" min="4" style="0" width="16.31"/>
    <col collapsed="false" customWidth="true" hidden="false" outlineLevel="0" max="5" min="5" style="0" width="17.29"/>
    <col collapsed="false" customWidth="true" hidden="false" outlineLevel="0" max="6" min="6" style="0" width="20.77"/>
  </cols>
  <sheetData>
    <row r="2" customFormat="false" ht="12.8" hidden="false" customHeight="false" outlineLevel="0" collapsed="false">
      <c r="A2" s="0" t="s">
        <v>25</v>
      </c>
      <c r="B2" s="32" t="s">
        <v>29</v>
      </c>
    </row>
    <row r="3" customFormat="false" ht="12.8" hidden="false" customHeight="false" outlineLevel="0" collapsed="false">
      <c r="A3" s="0" t="s">
        <v>47</v>
      </c>
      <c r="B3" s="32" t="s">
        <v>48</v>
      </c>
    </row>
    <row r="4" customFormat="false" ht="12.8" hidden="false" customHeight="false" outlineLevel="0" collapsed="false">
      <c r="A4" s="0" t="s">
        <v>52</v>
      </c>
      <c r="B4" s="46" t="s">
        <v>30</v>
      </c>
    </row>
    <row r="6" customFormat="false" ht="12.8" hidden="false" customHeight="false" outlineLevel="0" collapsed="false">
      <c r="A6" s="9"/>
      <c r="B6" s="10" t="s">
        <v>38</v>
      </c>
      <c r="C6" s="11"/>
      <c r="D6" s="11"/>
      <c r="E6" s="11"/>
      <c r="F6" s="12"/>
    </row>
    <row r="7" customFormat="false" ht="12.8" hidden="false" customHeight="false" outlineLevel="0" collapsed="false">
      <c r="A7" s="13" t="s">
        <v>0</v>
      </c>
      <c r="B7" s="14" t="s">
        <v>39</v>
      </c>
      <c r="C7" s="15" t="s">
        <v>40</v>
      </c>
      <c r="D7" s="15" t="s">
        <v>37</v>
      </c>
      <c r="E7" s="15" t="s">
        <v>45</v>
      </c>
      <c r="F7" s="16" t="s">
        <v>53</v>
      </c>
    </row>
    <row r="8" customFormat="false" ht="12.8" hidden="false" customHeight="false" outlineLevel="0" collapsed="false">
      <c r="A8" s="17" t="n">
        <v>2021</v>
      </c>
      <c r="B8" s="18" t="n">
        <v>5610</v>
      </c>
      <c r="C8" s="19" t="n">
        <v>3647021.02</v>
      </c>
      <c r="D8" s="20" t="n">
        <v>4</v>
      </c>
      <c r="E8" s="20" t="n">
        <v>0</v>
      </c>
      <c r="F8" s="21" t="n">
        <v>1.70568672635527</v>
      </c>
    </row>
    <row r="9" customFormat="false" ht="12.8" hidden="false" customHeight="false" outlineLevel="0" collapsed="false">
      <c r="A9" s="22" t="n">
        <v>2022</v>
      </c>
      <c r="B9" s="23" t="n">
        <v>5689</v>
      </c>
      <c r="C9" s="24" t="n">
        <v>3477544.92</v>
      </c>
      <c r="D9" s="25" t="n">
        <v>1</v>
      </c>
      <c r="E9" s="25" t="n">
        <v>-169476.092199898</v>
      </c>
      <c r="F9" s="26" t="n">
        <v>1.6921437844365</v>
      </c>
    </row>
    <row r="10" customFormat="false" ht="12.8" hidden="false" customHeight="false" outlineLevel="0" collapsed="false">
      <c r="A10" s="27" t="s">
        <v>46</v>
      </c>
      <c r="B10" s="28" t="n">
        <v>11299</v>
      </c>
      <c r="C10" s="29" t="n">
        <v>7124565.94</v>
      </c>
      <c r="D10" s="30" t="n">
        <v>1</v>
      </c>
      <c r="E10" s="30" t="n">
        <v>-169476.092199898</v>
      </c>
      <c r="F10" s="31" t="n">
        <v>3.39783051079177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4.09"/>
    <col collapsed="false" customWidth="true" hidden="false" outlineLevel="0" max="3" min="2" style="0" width="22.44"/>
    <col collapsed="false" customWidth="true" hidden="false" outlineLevel="0" max="4" min="4" style="0" width="28.56"/>
  </cols>
  <sheetData>
    <row r="2" customFormat="false" ht="12.8" hidden="false" customHeight="false" outlineLevel="0" collapsed="false">
      <c r="A2" s="0" t="s">
        <v>25</v>
      </c>
      <c r="B2" s="32" t="s">
        <v>33</v>
      </c>
    </row>
    <row r="3" customFormat="false" ht="12.8" hidden="false" customHeight="false" outlineLevel="0" collapsed="false">
      <c r="A3" s="0" t="s">
        <v>47</v>
      </c>
      <c r="B3" s="32" t="s">
        <v>48</v>
      </c>
    </row>
    <row r="4" customFormat="false" ht="12.8" hidden="false" customHeight="false" outlineLevel="0" collapsed="false">
      <c r="A4" s="0" t="s">
        <v>24</v>
      </c>
      <c r="B4" s="46" t="s">
        <v>54</v>
      </c>
    </row>
    <row r="5" customFormat="false" ht="12.8" hidden="false" customHeight="false" outlineLevel="0" collapsed="false">
      <c r="A5" s="53"/>
      <c r="B5" s="54"/>
      <c r="C5" s="54"/>
      <c r="D5" s="55"/>
    </row>
    <row r="6" customFormat="false" ht="12.8" hidden="false" customHeight="false" outlineLevel="0" collapsed="false">
      <c r="A6" s="56"/>
      <c r="B6" s="10" t="s">
        <v>21</v>
      </c>
      <c r="C6" s="57"/>
      <c r="D6" s="34"/>
    </row>
    <row r="7" customFormat="false" ht="12.8" hidden="false" customHeight="false" outlineLevel="0" collapsed="false">
      <c r="A7" s="58"/>
      <c r="B7" s="59" t="s">
        <v>32</v>
      </c>
      <c r="C7" s="60" t="s">
        <v>35</v>
      </c>
      <c r="D7" s="61" t="s">
        <v>55</v>
      </c>
    </row>
    <row r="8" customFormat="false" ht="12.8" hidden="false" customHeight="false" outlineLevel="0" collapsed="false">
      <c r="A8" s="35" t="s">
        <v>0</v>
      </c>
      <c r="B8" s="15" t="s">
        <v>43</v>
      </c>
      <c r="C8" s="15" t="s">
        <v>43</v>
      </c>
      <c r="D8" s="62"/>
    </row>
    <row r="9" customFormat="false" ht="12.8" hidden="false" customHeight="false" outlineLevel="0" collapsed="false">
      <c r="A9" s="63" t="n">
        <v>2021</v>
      </c>
      <c r="B9" s="20" t="n">
        <v>284.275128347168</v>
      </c>
      <c r="C9" s="40" t="n">
        <v>375.741416680663</v>
      </c>
      <c r="D9" s="64" t="n">
        <v>330.008272513916</v>
      </c>
    </row>
    <row r="10" customFormat="false" ht="12.8" hidden="false" customHeight="false" outlineLevel="0" collapsed="false">
      <c r="A10" s="65" t="n">
        <v>2022</v>
      </c>
      <c r="B10" s="25" t="n">
        <v>215.69839258202</v>
      </c>
      <c r="C10" s="40" t="n">
        <v>253.814111575181</v>
      </c>
      <c r="D10" s="64" t="n">
        <v>234.7562520786</v>
      </c>
    </row>
    <row r="11" customFormat="false" ht="12.8" hidden="false" customHeight="false" outlineLevel="0" collapsed="false">
      <c r="A11" s="66" t="s">
        <v>46</v>
      </c>
      <c r="B11" s="67" t="n">
        <v>249.986760464594</v>
      </c>
      <c r="C11" s="67" t="n">
        <v>314.777764127922</v>
      </c>
      <c r="D11" s="68" t="n">
        <v>282.382262296258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4.09"/>
    <col collapsed="false" customWidth="true" hidden="false" outlineLevel="0" max="2" min="2" style="0" width="12.98"/>
    <col collapsed="false" customWidth="true" hidden="false" outlineLevel="0" max="3" min="3" style="0" width="13.95"/>
    <col collapsed="false" customWidth="true" hidden="false" outlineLevel="0" max="4" min="4" style="0" width="14.51"/>
    <col collapsed="false" customWidth="true" hidden="false" outlineLevel="0" max="5" min="5" style="0" width="16.31"/>
    <col collapsed="false" customWidth="true" hidden="false" outlineLevel="0" max="6" min="6" style="0" width="17.29"/>
  </cols>
  <sheetData>
    <row r="2" customFormat="false" ht="12.8" hidden="false" customHeight="false" outlineLevel="0" collapsed="false">
      <c r="A2" s="0" t="s">
        <v>25</v>
      </c>
      <c r="B2" s="32" t="s">
        <v>29</v>
      </c>
    </row>
    <row r="3" customFormat="false" ht="12.8" hidden="false" customHeight="false" outlineLevel="0" collapsed="false">
      <c r="A3" s="0" t="s">
        <v>47</v>
      </c>
      <c r="B3" s="32" t="s">
        <v>48</v>
      </c>
    </row>
    <row r="4" customFormat="false" ht="12.8" hidden="false" customHeight="false" outlineLevel="0" collapsed="false">
      <c r="A4" s="0" t="s">
        <v>20</v>
      </c>
      <c r="B4" s="46" t="s">
        <v>56</v>
      </c>
    </row>
    <row r="6" customFormat="false" ht="12.8" hidden="false" customHeight="false" outlineLevel="0" collapsed="false">
      <c r="A6" s="33"/>
      <c r="B6" s="34"/>
      <c r="C6" s="10" t="s">
        <v>38</v>
      </c>
      <c r="D6" s="11"/>
      <c r="E6" s="11"/>
      <c r="F6" s="12"/>
    </row>
    <row r="7" customFormat="false" ht="12.8" hidden="false" customHeight="false" outlineLevel="0" collapsed="false">
      <c r="A7" s="13" t="s">
        <v>0</v>
      </c>
      <c r="B7" s="35" t="s">
        <v>14</v>
      </c>
      <c r="C7" s="14" t="s">
        <v>39</v>
      </c>
      <c r="D7" s="15" t="s">
        <v>40</v>
      </c>
      <c r="E7" s="15" t="s">
        <v>37</v>
      </c>
      <c r="F7" s="16" t="s">
        <v>45</v>
      </c>
    </row>
    <row r="8" customFormat="false" ht="12.8" hidden="false" customHeight="false" outlineLevel="0" collapsed="false">
      <c r="A8" s="17" t="n">
        <v>2022</v>
      </c>
      <c r="B8" s="36" t="s">
        <v>30</v>
      </c>
      <c r="C8" s="18" t="n">
        <v>5689</v>
      </c>
      <c r="D8" s="19" t="n">
        <v>3477544.92</v>
      </c>
      <c r="E8" s="20" t="n">
        <v>1</v>
      </c>
      <c r="F8" s="21" t="n">
        <v>-169476.092199898</v>
      </c>
    </row>
    <row r="9" customFormat="false" ht="12.8" hidden="false" customHeight="false" outlineLevel="0" collapsed="false">
      <c r="A9" s="42"/>
      <c r="B9" s="43" t="s">
        <v>31</v>
      </c>
      <c r="C9" s="23" t="n">
        <v>7132</v>
      </c>
      <c r="D9" s="24" t="n">
        <v>92660.11</v>
      </c>
      <c r="E9" s="25" t="n">
        <v>2</v>
      </c>
      <c r="F9" s="26" t="n">
        <v>23533.1249999935</v>
      </c>
    </row>
    <row r="10" customFormat="false" ht="12.8" hidden="false" customHeight="false" outlineLevel="0" collapsed="false">
      <c r="A10" s="44" t="s">
        <v>46</v>
      </c>
      <c r="B10" s="45"/>
      <c r="C10" s="28" t="n">
        <v>12821</v>
      </c>
      <c r="D10" s="29" t="n">
        <v>3570205.03</v>
      </c>
      <c r="E10" s="30" t="n">
        <v>1</v>
      </c>
      <c r="F10" s="31" t="n">
        <v>-145942.967199905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2026-05-01T10:57:15Z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