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_Bikes" sheetId="1" state="visible" r:id="rId3"/>
    <sheet name="Pivot_Bikes" sheetId="2" state="visible" r:id="rId4"/>
    <sheet name="Bikes_Sorted" sheetId="3" state="visible" r:id="rId5"/>
  </sheets>
  <calcPr iterateCount="100" refMode="A1" iterate="false" iterateDelta="0.001"/>
  <pivotCaches>
    <pivotCache cacheId="1" r:id="rId7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<sst xmlns="http://schemas.openxmlformats.org/spreadsheetml/2006/main" count="643" uniqueCount="38">
  <si>
    <t xml:space="preserve">modelname</t>
  </si>
  <si>
    <t xml:space="preserve">productcolor</t>
  </si>
  <si>
    <t xml:space="preserve">productstyle</t>
  </si>
  <si>
    <t xml:space="preserve">subcategoryname</t>
  </si>
  <si>
    <t xml:space="preserve">year</t>
  </si>
  <si>
    <t xml:space="preserve">qty</t>
  </si>
  <si>
    <t xml:space="preserve">revenue</t>
  </si>
  <si>
    <t xml:space="preserve">cost</t>
  </si>
  <si>
    <t xml:space="preserve">profit</t>
  </si>
  <si>
    <t xml:space="preserve">All-Purpose Bike Stand</t>
  </si>
  <si>
    <t xml:space="preserve">NA</t>
  </si>
  <si>
    <t xml:space="preserve">Bike Stands</t>
  </si>
  <si>
    <t xml:space="preserve">Hitch Rack - 4-Bike</t>
  </si>
  <si>
    <t xml:space="preserve">Bike Racks</t>
  </si>
  <si>
    <t xml:space="preserve">Mountain-200</t>
  </si>
  <si>
    <t xml:space="preserve">Black</t>
  </si>
  <si>
    <t xml:space="preserve">U</t>
  </si>
  <si>
    <t xml:space="preserve">Mountain Bikes</t>
  </si>
  <si>
    <t xml:space="preserve">Silver</t>
  </si>
  <si>
    <t xml:space="preserve">Mountain-400-W</t>
  </si>
  <si>
    <t xml:space="preserve">W</t>
  </si>
  <si>
    <t xml:space="preserve">Mountain-500</t>
  </si>
  <si>
    <t xml:space="preserve">Road-250</t>
  </si>
  <si>
    <t xml:space="preserve">Road Bikes</t>
  </si>
  <si>
    <t xml:space="preserve">Red</t>
  </si>
  <si>
    <t xml:space="preserve">Road-350-W</t>
  </si>
  <si>
    <t xml:space="preserve">Yellow</t>
  </si>
  <si>
    <t xml:space="preserve">Road-550-W</t>
  </si>
  <si>
    <t xml:space="preserve">Road-650</t>
  </si>
  <si>
    <t xml:space="preserve">Road-750</t>
  </si>
  <si>
    <t xml:space="preserve">Touring-1000</t>
  </si>
  <si>
    <t xml:space="preserve">Blue</t>
  </si>
  <si>
    <t xml:space="preserve">Touring Bikes</t>
  </si>
  <si>
    <t xml:space="preserve">Touring-2000</t>
  </si>
  <si>
    <t xml:space="preserve">Touring-3000</t>
  </si>
  <si>
    <t xml:space="preserve">Sum - profit</t>
  </si>
  <si>
    <t xml:space="preserve">Total Result</t>
  </si>
  <si>
    <t xml:space="preserve">Profit_Delta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</si>
</sst>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  <xf numFmtId="164" fontId="0" fillId="2" borderId="0" applyFont="false" applyBorder="false" applyAlignment="false" applyProtection="false"/>
    <xf numFmtId="164" fontId="0" fillId="3" borderId="0" applyFont="false" applyBorder="false" applyAlignment="false" applyProtection="false"/>
    <xf numFmtId="164" fontId="0" fillId="4" borderId="0" applyFont="fals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  <cellStyle name="Orange" xfId="26"/>
    <cellStyle name="Yellow" xfId="27"/>
    <cellStyle name="Green" xfId="28"/>
  </cellStyles>
  <dxfs count="10">
    <dxf>
      <fill>
        <patternFill patternType="solid"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FFBF00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ont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  <dxf>
      <fill>
        <patternFill>
          <bgColor rgb="FFFFBF00"/>
        </patternFill>
      </fill>
    </dxf>
    <dxf>
      <fill>
        <patternFill>
          <bgColor rgb="FFFFFF00"/>
        </patternFill>
      </fill>
    </dxf>
    <dxf>
      <fill>
        <patternFill>
          <bgColor rgb="FF00A933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9" createdVersion="3">
  <cacheSource type="worksheet">
    <worksheetSource ref="A1:I140" sheet="Raw_Bikes"/>
  </cacheSource>
  <cacheFields count="9">
    <cacheField name="modelname" numFmtId="0">
      <sharedItems count="13">
        <s v="All-Purpose Bike Stand"/>
        <s v="Hitch Rack - 4-Bike"/>
        <s v="Mountain-200"/>
        <s v="Mountain-400-W"/>
        <s v="Mountain-500"/>
        <s v="Road-250"/>
        <s v="Road-350-W"/>
        <s v="Road-550-W"/>
        <s v="Road-650"/>
        <s v="Road-750"/>
        <s v="Touring-1000"/>
        <s v="Touring-2000"/>
        <s v="Touring-3000"/>
      </sharedItems>
    </cacheField>
    <cacheField name="productcolor" numFmtId="0">
      <sharedItems count="6">
        <s v="Black"/>
        <s v="Blue"/>
        <s v="NA"/>
        <s v="Red"/>
        <s v="Silver"/>
        <s v="Yellow"/>
      </sharedItems>
    </cacheField>
    <cacheField name="productstyle" numFmtId="0">
      <sharedItems containsMixedTypes="1" containsNumber="1" containsInteger="1" minValue="0" maxValue="0" count="3">
        <n v="0"/>
        <s v="U"/>
        <s v="W"/>
      </sharedItems>
    </cacheField>
    <cacheField name="subcategoryname" numFmtId="0">
      <sharedItems count="5">
        <s v="Bike Racks"/>
        <s v="Bike Stands"/>
        <s v="Mountain Bikes"/>
        <s v="Road Bikes"/>
        <s v="Touring Bikes"/>
      </sharedItems>
    </cacheField>
    <cacheField name="year" numFmtId="0">
      <sharedItems containsSemiMixedTypes="0" containsString="0" containsNumber="1" containsInteger="1" minValue="2021" maxValue="2022" count="2">
        <n v="2021"/>
        <n v="2022"/>
      </sharedItems>
    </cacheField>
    <cacheField name="qty" numFmtId="0">
      <sharedItems containsSemiMixedTypes="0" containsString="0" containsNumber="1" containsInteger="1" minValue="13" maxValue="301" count="93">
        <n v="13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7"/>
        <n v="41"/>
        <n v="42"/>
        <n v="45"/>
        <n v="47"/>
        <n v="48"/>
        <n v="49"/>
        <n v="51"/>
        <n v="52"/>
        <n v="53"/>
        <n v="54"/>
        <n v="57"/>
        <n v="58"/>
        <n v="59"/>
        <n v="60"/>
        <n v="63"/>
        <n v="64"/>
        <n v="69"/>
        <n v="70"/>
        <n v="71"/>
        <n v="75"/>
        <n v="78"/>
        <n v="79"/>
        <n v="81"/>
        <n v="84"/>
        <n v="86"/>
        <n v="87"/>
        <n v="88"/>
        <n v="89"/>
        <n v="94"/>
        <n v="99"/>
        <n v="104"/>
        <n v="109"/>
        <n v="111"/>
        <n v="112"/>
        <n v="114"/>
        <n v="116"/>
        <n v="117"/>
        <n v="118"/>
        <n v="123"/>
        <n v="126"/>
        <n v="128"/>
        <n v="130"/>
        <n v="134"/>
        <n v="135"/>
        <n v="138"/>
        <n v="140"/>
        <n v="144"/>
        <n v="147"/>
        <n v="150"/>
        <n v="151"/>
        <n v="152"/>
        <n v="154"/>
        <n v="156"/>
        <n v="167"/>
        <n v="188"/>
        <n v="199"/>
        <n v="206"/>
        <n v="225"/>
        <n v="227"/>
        <n v="233"/>
        <n v="244"/>
        <n v="246"/>
        <n v="248"/>
        <n v="251"/>
        <n v="258"/>
        <n v="268"/>
        <n v="274"/>
        <n v="277"/>
        <n v="278"/>
        <n v="301"/>
      </sharedItems>
    </cacheField>
    <cacheField name="revenue" numFmtId="0">
      <sharedItems containsSemiMixedTypes="0" containsString="0" containsNumber="1" minValue="7019.87" maxValue="616778.558200002" count="125">
        <n v="7019.87"/>
        <n v="8474.85"/>
        <n v="9604.83"/>
        <n v="9719.82"/>
        <n v="10169.82"/>
        <n v="10486.473"/>
        <n v="11339.79"/>
        <n v="11864.79"/>
        <n v="11877.6"/>
        <n v="12419.77"/>
        <n v="12429.78"/>
        <n v="12959.76"/>
        <n v="13362.3"/>
        <n v="13499.75"/>
        <n v="13981.964"/>
        <n v="14104.65"/>
        <n v="14579.73"/>
        <n v="14689.74"/>
        <n v="15119.72"/>
        <n v="15254.73"/>
        <n v="15380.1604"/>
        <n v="15589.35"/>
        <n v="15819.72"/>
        <n v="16200"/>
        <n v="16331.7"/>
        <n v="16949.7"/>
        <n v="17074.05"/>
        <n v="17279.68"/>
        <n v="18444"/>
        <n v="18558.75"/>
        <n v="18762"/>
        <n v="18875.6514"/>
        <n v="19301.1"/>
        <n v="19979.63"/>
        <n v="20040"/>
        <n v="20273.8478"/>
        <n v="20972.946"/>
        <n v="21672.0442"/>
        <n v="22270.5"/>
        <n v="22371.1424"/>
        <n v="23070.2406"/>
        <n v="23755.2"/>
        <n v="24468.437"/>
        <n v="24497.55"/>
        <n v="25982.25"/>
        <n v="27466.95"/>
        <n v="31178.7"/>
        <n v="36166.03"/>
        <n v="36935.52"/>
        <n v="39243.99"/>
        <n v="41304.9"/>
        <n v="43860.93"/>
        <n v="44949.45"/>
        <n v="49808.85"/>
        <n v="54668.25"/>
        <n v="57097.95"/>
        <n v="59527.65"/>
        <n v="60020.22"/>
        <n v="60789.71"/>
        <n v="64637.1599999999"/>
        <n v="68484.61"/>
        <n v="71676.15"/>
        <n v="75598.6"/>
        <n v="80998.5000000001"/>
        <n v="84238.4400000001"/>
        <n v="101518.12"/>
        <n v="107458.01"/>
        <n v="109047.6875"/>
        <n v="111237.94"/>
        <n v="112049"/>
        <n v="114049.875"/>
        <n v="117051.1875"/>
        <n v="117280.8"/>
        <n v="117368.31"/>
        <n v="117804.375"/>
        <n v="121587.57"/>
        <n v="123053.8125"/>
        <n v="123971.64"/>
        <n v="124349.0625"/>
        <n v="125817.670000001"/>
        <n v="126055.125"/>
        <n v="126355.71"/>
        <n v="127574.25"/>
        <n v="128056"/>
        <n v="128712.1875"/>
        <n v="128739.78"/>
        <n v="135059.0625"/>
        <n v="135891.99"/>
        <n v="137438.4375"/>
        <n v="137780.19"/>
        <n v="138060.375"/>
        <n v="138276.06"/>
        <n v="139620"/>
        <n v="143044.2"/>
        <n v="146285.14"/>
        <n v="171034.5"/>
        <n v="173477.85"/>
        <n v="207414.09"/>
        <n v="209798.16"/>
        <n v="224102.58"/>
        <n v="236022.930000001"/>
        <n v="244942.56"/>
        <n v="247943.280000001"/>
        <n v="255148.5"/>
        <n v="258550.48"/>
        <n v="261952.459999999"/>
        <n v="264631.770000001"/>
        <n v="281320.260000001"/>
        <n v="283603.125"/>
        <n v="292329.375"/>
        <n v="314145"/>
        <n v="320689.6875"/>
        <n v="329415.9375"/>
        <n v="465145.291400001"/>
        <n v="466069.410000002"/>
        <n v="504078.157200001"/>
        <n v="505426.382400002"/>
        <n v="513712.060800002"/>
        <n v="514323.648200001"/>
        <n v="534426.256800002"/>
        <n v="549158.317600001"/>
        <n v="567568.970400003"/>
        <n v="569649.299600001"/>
        <n v="573783.229200003"/>
        <n v="616778.558200002"/>
      </sharedItems>
    </cacheField>
    <cacheField name="cost" numFmtId="0">
      <sharedItems containsSemiMixedTypes="0" containsString="0" containsNumber="1" minValue="3829.5361" maxValue="332848.809999999" count="125">
        <n v="3829.5361"/>
        <n v="4623.2685"/>
        <n v="5239.7043"/>
        <n v="5302.4346"/>
        <n v="5547.9222"/>
        <n v="6058.80000000001"/>
        <n v="6186.1737"/>
        <n v="6197.1945"/>
        <n v="6472.5759"/>
        <n v="6775.3331"/>
        <n v="6780.7938"/>
        <n v="6898.05600000001"/>
        <n v="7016.98800000001"/>
        <n v="7069.9128"/>
        <n v="7364.4925"/>
        <n v="7383.1168"/>
        <n v="7494.96000000002"/>
        <n v="7953.6519"/>
        <n v="8013.6654"/>
        <n v="8248.23160000001"/>
        <n v="8262.926"/>
        <n v="8306.0064"/>
        <n v="8321.8833"/>
        <n v="8630.1012"/>
        <n v="8767.4512"/>
        <n v="9089.2186"/>
        <n v="9246.537"/>
        <n v="9426.55040000001"/>
        <n v="9690.3408"/>
        <n v="10151.7856"/>
        <n v="10613.2304"/>
        <n v="10899.4489"/>
        <n v="11154.9501"/>
        <n v="11536.12"/>
        <n v="11981.2427"/>
        <n v="11997.5648"/>
        <n v="12394.389"/>
        <n v="12807.5353"/>
        <n v="13220.6816"/>
        <n v="13633.8279"/>
        <n v="13843.344"/>
        <n v="14460.1205"/>
        <n v="14766.2336"/>
        <n v="15227.6784"/>
        <n v="16150.568"/>
        <n v="17073.4576"/>
        <n v="19380.6816"/>
        <n v="19729.5848"/>
        <n v="20149.3632"/>
        <n v="21408.6984"/>
        <n v="23927.3688"/>
        <n v="25675.1272"/>
        <n v="27940.5796"/>
        <n v="30961.1828"/>
        <n v="32742.7152"/>
        <n v="33162.4936"/>
        <n v="33981.786"/>
        <n v="35261.3856"/>
        <n v="35492.0876"/>
        <n v="37002.3892"/>
        <n v="37360.2776"/>
        <n v="44553.8972"/>
        <n v="48110.9439999999"/>
        <n v="51547.4399999999"/>
        <n v="53609.3375999999"/>
        <n v="64606.1247999998"/>
        <n v="66015.7628"/>
        <n v="67832.7104"/>
        <n v="68386.2703999998"/>
        <n v="69044.0088"/>
        <n v="70791.8175999998"/>
        <n v="70860.9564"/>
        <n v="71316.9252"/>
        <n v="72901.7471999999"/>
        <n v="74494.8516"/>
        <n v="74693.19"/>
        <n v="75278.9766"/>
        <n v="75578.8329"/>
        <n v="76311.7992"/>
        <n v="77060.7708"/>
        <n v="77523.0976"/>
        <n v="77920.3442"/>
        <n v="78542.7087"/>
        <n v="80024.6466"/>
        <n v="80070.3567999999"/>
        <n v="81188.25"/>
        <n v="81762.642"/>
        <n v="83203.0794"/>
        <n v="83579.5896"/>
        <n v="84470.4603"/>
        <n v="84523.7632"/>
        <n v="85952.3982"/>
        <n v="87683.3099999999"/>
        <n v="88916.274"/>
        <n v="93095.8599999999"/>
        <n v="106315.048"/>
        <n v="107833.8344"/>
        <n v="128928.5973"/>
        <n v="130410.5352"/>
        <n v="139302.1626"/>
        <n v="146711.8521"/>
        <n v="154121.5416"/>
        <n v="155881.44"/>
        <n v="162376.5"/>
        <n v="164495.1069"/>
        <n v="164541.52"/>
        <n v="166706.54"/>
        <n v="171688.894"/>
        <n v="174868.6722"/>
        <n v="176971.6292"/>
        <n v="190178.4672"/>
        <n v="194140.5186"/>
        <n v="199423.2538"/>
        <n v="251018.87"/>
        <n v="251517.577499999"/>
        <n v="272029.26"/>
        <n v="272756.839599999"/>
        <n v="277228.2632"/>
        <n v="277558.31"/>
        <n v="288406.8222"/>
        <n v="296357.08"/>
        <n v="306292.5166"/>
        <n v="307415.179999999"/>
        <n v="309646.0843"/>
        <n v="332848.809999999"/>
      </sharedItems>
    </cacheField>
    <cacheField name="profit" numFmtId="0">
      <sharedItems containsSemiMixedTypes="0" containsString="0" containsNumber="1" minValue="3190.3339" maxValue="283929.748200001" count="125">
        <n v="3190.3339"/>
        <n v="3851.5815"/>
        <n v="4289.2785"/>
        <n v="4365.1257"/>
        <n v="4417.3854"/>
        <n v="4494.4832"/>
        <n v="4621.8978"/>
        <n v="5056.2936"/>
        <n v="5153.6163"/>
        <n v="5337.1988"/>
        <n v="5392.2141"/>
        <n v="5644.4369"/>
        <n v="5648.9862"/>
        <n v="5719.038"/>
        <n v="5889.8472"/>
        <n v="5899.0092"/>
        <n v="6135.2575"/>
        <n v="6179.9144"/>
        <n v="6290.9418"/>
        <n v="6460.8196"/>
        <n v="6626.0781"/>
        <n v="6676.0746"/>
        <n v="6871.4884"/>
        <n v="6932.8467"/>
        <n v="7022.63"/>
        <n v="7189.6188"/>
        <n v="7303.5352"/>
        <n v="7703.163"/>
        <n v="7720.7013"/>
        <n v="7853.12959999999"/>
        <n v="8292.6051"/>
        <n v="8427.156"/>
        <n v="8578.557"/>
        <n v="8864.5089"/>
        <n v="8988.9664"/>
        <n v="9080.18109999999"/>
        <n v="9150.4608"/>
        <n v="9269.8716"/>
        <n v="9436.4127"/>
        <n v="9831.682"/>
        <n v="10008.3165"/>
        <n v="10141.2"/>
        <n v="10393.4924"/>
        <n v="11545.944"/>
        <n v="11745.012"/>
        <n v="11798.0184"/>
        <n v="12545.04"/>
        <n v="15629.7728"/>
        <n v="16436.4452"/>
        <n v="16786.1568"/>
        <n v="17008.8704"/>
        <n v="17835.2916"/>
        <n v="18847.6672"/>
        <n v="19933.5612"/>
        <n v="20686.464"/>
        <n v="21605.8624"/>
        <n v="22525.2608"/>
        <n v="27122.2528"/>
        <n v="27277.5048"/>
        <n v="27487.656"/>
        <n v="27627.2164"/>
        <n v="29375.7744"/>
        <n v="29451.06"/>
        <n v="30629.1024"/>
        <n v="31124.3324"/>
        <n v="36911.9952000001"/>
        <n v="39071.7396000001"/>
        <n v="40446.1224000001"/>
        <n v="42675.12"/>
        <n v="43031.9247"/>
        <n v="44216.2896"/>
        <n v="44379.0528"/>
        <n v="45005.8662"/>
        <n v="45747.3132000001"/>
        <n v="46008.7371"/>
        <n v="46190.2311"/>
        <n v="46386.0000000001"/>
        <n v="46487.4498"/>
        <n v="46910.8692"/>
        <n v="47813.0013"/>
        <n v="48558.9609"/>
        <n v="48715.1334"/>
        <n v="49070.0859"/>
        <n v="49743.3258"/>
        <n v="50096.8800000001"/>
        <n v="50532.9024"/>
        <n v="50791.8433"/>
        <n v="51421.5297"/>
        <n v="52323.6618"/>
        <n v="53189.2800000001"/>
        <n v="53296.4205"/>
        <n v="54127.9260000001"/>
        <n v="54235.3581"/>
        <n v="54480.7854"/>
        <n v="55096.2368"/>
        <n v="64719.4520000001"/>
        <n v="65644.0156000001"/>
        <n v="78485.4927000001"/>
        <n v="79387.6248000001"/>
        <n v="84800.4174000001"/>
        <n v="89061.12"/>
        <n v="89311.0779000002"/>
        <n v="92772"/>
        <n v="93821.7384000002"/>
        <n v="94008.96"/>
        <n v="95245.92"/>
        <n v="100136.6631"/>
        <n v="106451.5878"/>
        <n v="111914.231"/>
        <n v="115357.7458"/>
        <n v="123966.5328"/>
        <n v="126549.1689"/>
        <n v="129992.6837"/>
        <n v="214126.421400001"/>
        <n v="214551.8325"/>
        <n v="232048.897200001"/>
        <n v="232669.5428"/>
        <n v="236483.7976"/>
        <n v="236765.338200001"/>
        <n v="246019.4346"/>
        <n v="252801.237600001"/>
        <n v="261276.4538"/>
        <n v="262234.119600001"/>
        <n v="264137.1449"/>
        <n v="283929.74820000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9">
  <r>
    <x v="0"/>
    <x v="2"/>
    <x v="0"/>
    <x v="1"/>
    <x v="0"/>
    <x v="60"/>
    <x v="30"/>
    <x v="12"/>
    <x v="44"/>
  </r>
  <r>
    <x v="0"/>
    <x v="2"/>
    <x v="0"/>
    <x v="1"/>
    <x v="1"/>
    <x v="58"/>
    <x v="28"/>
    <x v="11"/>
    <x v="43"/>
  </r>
  <r>
    <x v="1"/>
    <x v="2"/>
    <x v="0"/>
    <x v="0"/>
    <x v="0"/>
    <x v="66"/>
    <x v="23"/>
    <x v="5"/>
    <x v="41"/>
  </r>
  <r>
    <x v="1"/>
    <x v="2"/>
    <x v="0"/>
    <x v="0"/>
    <x v="1"/>
    <x v="76"/>
    <x v="34"/>
    <x v="16"/>
    <x v="46"/>
  </r>
  <r>
    <x v="2"/>
    <x v="0"/>
    <x v="1"/>
    <x v="2"/>
    <x v="0"/>
    <x v="92"/>
    <x v="124"/>
    <x v="124"/>
    <x v="124"/>
  </r>
  <r>
    <x v="2"/>
    <x v="0"/>
    <x v="1"/>
    <x v="2"/>
    <x v="0"/>
    <x v="91"/>
    <x v="122"/>
    <x v="122"/>
    <x v="122"/>
  </r>
  <r>
    <x v="2"/>
    <x v="0"/>
    <x v="1"/>
    <x v="2"/>
    <x v="0"/>
    <x v="88"/>
    <x v="120"/>
    <x v="120"/>
    <x v="120"/>
  </r>
  <r>
    <x v="2"/>
    <x v="0"/>
    <x v="1"/>
    <x v="2"/>
    <x v="1"/>
    <x v="86"/>
    <x v="118"/>
    <x v="118"/>
    <x v="118"/>
  </r>
  <r>
    <x v="2"/>
    <x v="0"/>
    <x v="1"/>
    <x v="2"/>
    <x v="1"/>
    <x v="84"/>
    <x v="115"/>
    <x v="115"/>
    <x v="115"/>
  </r>
  <r>
    <x v="2"/>
    <x v="0"/>
    <x v="1"/>
    <x v="2"/>
    <x v="1"/>
    <x v="81"/>
    <x v="113"/>
    <x v="113"/>
    <x v="113"/>
  </r>
  <r>
    <x v="2"/>
    <x v="4"/>
    <x v="1"/>
    <x v="2"/>
    <x v="0"/>
    <x v="89"/>
    <x v="121"/>
    <x v="121"/>
    <x v="121"/>
  </r>
  <r>
    <x v="2"/>
    <x v="4"/>
    <x v="1"/>
    <x v="2"/>
    <x v="0"/>
    <x v="87"/>
    <x v="119"/>
    <x v="119"/>
    <x v="119"/>
  </r>
  <r>
    <x v="2"/>
    <x v="4"/>
    <x v="1"/>
    <x v="2"/>
    <x v="0"/>
    <x v="90"/>
    <x v="123"/>
    <x v="123"/>
    <x v="123"/>
  </r>
  <r>
    <x v="2"/>
    <x v="4"/>
    <x v="1"/>
    <x v="2"/>
    <x v="1"/>
    <x v="80"/>
    <x v="114"/>
    <x v="114"/>
    <x v="114"/>
  </r>
  <r>
    <x v="2"/>
    <x v="4"/>
    <x v="1"/>
    <x v="2"/>
    <x v="1"/>
    <x v="83"/>
    <x v="116"/>
    <x v="116"/>
    <x v="116"/>
  </r>
  <r>
    <x v="2"/>
    <x v="4"/>
    <x v="1"/>
    <x v="2"/>
    <x v="1"/>
    <x v="85"/>
    <x v="117"/>
    <x v="117"/>
    <x v="117"/>
  </r>
  <r>
    <x v="3"/>
    <x v="4"/>
    <x v="2"/>
    <x v="2"/>
    <x v="0"/>
    <x v="33"/>
    <x v="51"/>
    <x v="50"/>
    <x v="53"/>
  </r>
  <r>
    <x v="3"/>
    <x v="4"/>
    <x v="2"/>
    <x v="2"/>
    <x v="0"/>
    <x v="27"/>
    <x v="48"/>
    <x v="48"/>
    <x v="49"/>
  </r>
  <r>
    <x v="3"/>
    <x v="4"/>
    <x v="2"/>
    <x v="2"/>
    <x v="0"/>
    <x v="26"/>
    <x v="47"/>
    <x v="47"/>
    <x v="48"/>
  </r>
  <r>
    <x v="3"/>
    <x v="4"/>
    <x v="2"/>
    <x v="2"/>
    <x v="0"/>
    <x v="29"/>
    <x v="49"/>
    <x v="49"/>
    <x v="51"/>
  </r>
  <r>
    <x v="3"/>
    <x v="4"/>
    <x v="2"/>
    <x v="2"/>
    <x v="1"/>
    <x v="50"/>
    <x v="60"/>
    <x v="60"/>
    <x v="64"/>
  </r>
  <r>
    <x v="3"/>
    <x v="4"/>
    <x v="2"/>
    <x v="2"/>
    <x v="1"/>
    <x v="43"/>
    <x v="57"/>
    <x v="54"/>
    <x v="58"/>
  </r>
  <r>
    <x v="3"/>
    <x v="4"/>
    <x v="2"/>
    <x v="2"/>
    <x v="1"/>
    <x v="44"/>
    <x v="58"/>
    <x v="55"/>
    <x v="60"/>
  </r>
  <r>
    <x v="3"/>
    <x v="4"/>
    <x v="2"/>
    <x v="2"/>
    <x v="1"/>
    <x v="46"/>
    <x v="59"/>
    <x v="57"/>
    <x v="61"/>
  </r>
  <r>
    <x v="4"/>
    <x v="0"/>
    <x v="1"/>
    <x v="2"/>
    <x v="0"/>
    <x v="10"/>
    <x v="11"/>
    <x v="13"/>
    <x v="14"/>
  </r>
  <r>
    <x v="4"/>
    <x v="0"/>
    <x v="1"/>
    <x v="2"/>
    <x v="0"/>
    <x v="9"/>
    <x v="9"/>
    <x v="9"/>
    <x v="11"/>
  </r>
  <r>
    <x v="4"/>
    <x v="0"/>
    <x v="1"/>
    <x v="2"/>
    <x v="0"/>
    <x v="7"/>
    <x v="6"/>
    <x v="6"/>
    <x v="8"/>
  </r>
  <r>
    <x v="4"/>
    <x v="0"/>
    <x v="1"/>
    <x v="2"/>
    <x v="0"/>
    <x v="0"/>
    <x v="0"/>
    <x v="0"/>
    <x v="0"/>
  </r>
  <r>
    <x v="4"/>
    <x v="0"/>
    <x v="1"/>
    <x v="2"/>
    <x v="0"/>
    <x v="4"/>
    <x v="3"/>
    <x v="3"/>
    <x v="4"/>
  </r>
  <r>
    <x v="4"/>
    <x v="0"/>
    <x v="1"/>
    <x v="2"/>
    <x v="1"/>
    <x v="11"/>
    <x v="13"/>
    <x v="14"/>
    <x v="16"/>
  </r>
  <r>
    <x v="4"/>
    <x v="0"/>
    <x v="1"/>
    <x v="2"/>
    <x v="1"/>
    <x v="13"/>
    <x v="16"/>
    <x v="17"/>
    <x v="20"/>
  </r>
  <r>
    <x v="4"/>
    <x v="0"/>
    <x v="1"/>
    <x v="2"/>
    <x v="1"/>
    <x v="18"/>
    <x v="27"/>
    <x v="27"/>
    <x v="29"/>
  </r>
  <r>
    <x v="4"/>
    <x v="0"/>
    <x v="1"/>
    <x v="2"/>
    <x v="1"/>
    <x v="22"/>
    <x v="33"/>
    <x v="31"/>
    <x v="35"/>
  </r>
  <r>
    <x v="4"/>
    <x v="0"/>
    <x v="1"/>
    <x v="2"/>
    <x v="1"/>
    <x v="14"/>
    <x v="18"/>
    <x v="19"/>
    <x v="22"/>
  </r>
  <r>
    <x v="4"/>
    <x v="4"/>
    <x v="1"/>
    <x v="2"/>
    <x v="0"/>
    <x v="8"/>
    <x v="10"/>
    <x v="10"/>
    <x v="12"/>
  </r>
  <r>
    <x v="4"/>
    <x v="4"/>
    <x v="1"/>
    <x v="2"/>
    <x v="0"/>
    <x v="4"/>
    <x v="4"/>
    <x v="4"/>
    <x v="6"/>
  </r>
  <r>
    <x v="4"/>
    <x v="4"/>
    <x v="1"/>
    <x v="2"/>
    <x v="0"/>
    <x v="7"/>
    <x v="7"/>
    <x v="8"/>
    <x v="10"/>
  </r>
  <r>
    <x v="4"/>
    <x v="4"/>
    <x v="1"/>
    <x v="2"/>
    <x v="0"/>
    <x v="3"/>
    <x v="2"/>
    <x v="2"/>
    <x v="3"/>
  </r>
  <r>
    <x v="4"/>
    <x v="4"/>
    <x v="1"/>
    <x v="2"/>
    <x v="0"/>
    <x v="1"/>
    <x v="1"/>
    <x v="1"/>
    <x v="1"/>
  </r>
  <r>
    <x v="4"/>
    <x v="4"/>
    <x v="1"/>
    <x v="2"/>
    <x v="1"/>
    <x v="16"/>
    <x v="25"/>
    <x v="26"/>
    <x v="27"/>
  </r>
  <r>
    <x v="4"/>
    <x v="4"/>
    <x v="1"/>
    <x v="2"/>
    <x v="1"/>
    <x v="12"/>
    <x v="17"/>
    <x v="18"/>
    <x v="21"/>
  </r>
  <r>
    <x v="4"/>
    <x v="4"/>
    <x v="1"/>
    <x v="2"/>
    <x v="1"/>
    <x v="14"/>
    <x v="22"/>
    <x v="23"/>
    <x v="25"/>
  </r>
  <r>
    <x v="4"/>
    <x v="4"/>
    <x v="1"/>
    <x v="2"/>
    <x v="1"/>
    <x v="7"/>
    <x v="7"/>
    <x v="8"/>
    <x v="10"/>
  </r>
  <r>
    <x v="4"/>
    <x v="4"/>
    <x v="1"/>
    <x v="2"/>
    <x v="1"/>
    <x v="13"/>
    <x v="19"/>
    <x v="22"/>
    <x v="23"/>
  </r>
  <r>
    <x v="5"/>
    <x v="0"/>
    <x v="1"/>
    <x v="3"/>
    <x v="0"/>
    <x v="69"/>
    <x v="110"/>
    <x v="110"/>
    <x v="110"/>
  </r>
  <r>
    <x v="5"/>
    <x v="0"/>
    <x v="1"/>
    <x v="3"/>
    <x v="0"/>
    <x v="70"/>
    <x v="111"/>
    <x v="111"/>
    <x v="111"/>
  </r>
  <r>
    <x v="5"/>
    <x v="0"/>
    <x v="1"/>
    <x v="3"/>
    <x v="0"/>
    <x v="72"/>
    <x v="112"/>
    <x v="112"/>
    <x v="112"/>
  </r>
  <r>
    <x v="5"/>
    <x v="0"/>
    <x v="1"/>
    <x v="3"/>
    <x v="0"/>
    <x v="64"/>
    <x v="108"/>
    <x v="107"/>
    <x v="108"/>
  </r>
  <r>
    <x v="5"/>
    <x v="0"/>
    <x v="1"/>
    <x v="3"/>
    <x v="1"/>
    <x v="32"/>
    <x v="74"/>
    <x v="72"/>
    <x v="77"/>
  </r>
  <r>
    <x v="5"/>
    <x v="0"/>
    <x v="1"/>
    <x v="3"/>
    <x v="1"/>
    <x v="35"/>
    <x v="84"/>
    <x v="81"/>
    <x v="86"/>
  </r>
  <r>
    <x v="5"/>
    <x v="0"/>
    <x v="1"/>
    <x v="3"/>
    <x v="1"/>
    <x v="33"/>
    <x v="78"/>
    <x v="76"/>
    <x v="82"/>
  </r>
  <r>
    <x v="5"/>
    <x v="0"/>
    <x v="1"/>
    <x v="3"/>
    <x v="1"/>
    <x v="38"/>
    <x v="92"/>
    <x v="90"/>
    <x v="94"/>
  </r>
  <r>
    <x v="5"/>
    <x v="3"/>
    <x v="1"/>
    <x v="3"/>
    <x v="0"/>
    <x v="40"/>
    <x v="95"/>
    <x v="95"/>
    <x v="95"/>
  </r>
  <r>
    <x v="5"/>
    <x v="3"/>
    <x v="1"/>
    <x v="3"/>
    <x v="0"/>
    <x v="41"/>
    <x v="96"/>
    <x v="96"/>
    <x v="96"/>
  </r>
  <r>
    <x v="5"/>
    <x v="3"/>
    <x v="1"/>
    <x v="3"/>
    <x v="0"/>
    <x v="27"/>
    <x v="72"/>
    <x v="73"/>
    <x v="71"/>
  </r>
  <r>
    <x v="5"/>
    <x v="3"/>
    <x v="1"/>
    <x v="3"/>
    <x v="0"/>
    <x v="65"/>
    <x v="109"/>
    <x v="109"/>
    <x v="109"/>
  </r>
  <r>
    <x v="5"/>
    <x v="3"/>
    <x v="1"/>
    <x v="3"/>
    <x v="1"/>
    <x v="37"/>
    <x v="88"/>
    <x v="87"/>
    <x v="92"/>
  </r>
  <r>
    <x v="6"/>
    <x v="5"/>
    <x v="2"/>
    <x v="3"/>
    <x v="0"/>
    <x v="47"/>
    <x v="94"/>
    <x v="94"/>
    <x v="89"/>
  </r>
  <r>
    <x v="6"/>
    <x v="5"/>
    <x v="2"/>
    <x v="3"/>
    <x v="0"/>
    <x v="42"/>
    <x v="82"/>
    <x v="85"/>
    <x v="76"/>
  </r>
  <r>
    <x v="6"/>
    <x v="5"/>
    <x v="2"/>
    <x v="3"/>
    <x v="0"/>
    <x v="39"/>
    <x v="73"/>
    <x v="75"/>
    <x v="68"/>
  </r>
  <r>
    <x v="6"/>
    <x v="5"/>
    <x v="2"/>
    <x v="3"/>
    <x v="0"/>
    <x v="45"/>
    <x v="89"/>
    <x v="92"/>
    <x v="84"/>
  </r>
  <r>
    <x v="6"/>
    <x v="5"/>
    <x v="2"/>
    <x v="3"/>
    <x v="1"/>
    <x v="74"/>
    <x v="105"/>
    <x v="106"/>
    <x v="105"/>
  </r>
  <r>
    <x v="6"/>
    <x v="5"/>
    <x v="2"/>
    <x v="3"/>
    <x v="1"/>
    <x v="71"/>
    <x v="103"/>
    <x v="103"/>
    <x v="102"/>
  </r>
  <r>
    <x v="6"/>
    <x v="5"/>
    <x v="2"/>
    <x v="3"/>
    <x v="1"/>
    <x v="69"/>
    <x v="101"/>
    <x v="102"/>
    <x v="100"/>
  </r>
  <r>
    <x v="6"/>
    <x v="5"/>
    <x v="2"/>
    <x v="3"/>
    <x v="1"/>
    <x v="73"/>
    <x v="104"/>
    <x v="105"/>
    <x v="104"/>
  </r>
  <r>
    <x v="7"/>
    <x v="5"/>
    <x v="2"/>
    <x v="3"/>
    <x v="0"/>
    <x v="62"/>
    <x v="80"/>
    <x v="78"/>
    <x v="83"/>
  </r>
  <r>
    <x v="7"/>
    <x v="5"/>
    <x v="2"/>
    <x v="3"/>
    <x v="0"/>
    <x v="54"/>
    <x v="67"/>
    <x v="66"/>
    <x v="69"/>
  </r>
  <r>
    <x v="7"/>
    <x v="5"/>
    <x v="2"/>
    <x v="3"/>
    <x v="0"/>
    <x v="63"/>
    <x v="83"/>
    <x v="80"/>
    <x v="85"/>
  </r>
  <r>
    <x v="7"/>
    <x v="5"/>
    <x v="2"/>
    <x v="3"/>
    <x v="0"/>
    <x v="67"/>
    <x v="90"/>
    <x v="88"/>
    <x v="93"/>
  </r>
  <r>
    <x v="7"/>
    <x v="5"/>
    <x v="2"/>
    <x v="3"/>
    <x v="0"/>
    <x v="56"/>
    <x v="69"/>
    <x v="67"/>
    <x v="70"/>
  </r>
  <r>
    <x v="7"/>
    <x v="5"/>
    <x v="2"/>
    <x v="3"/>
    <x v="1"/>
    <x v="61"/>
    <x v="76"/>
    <x v="74"/>
    <x v="80"/>
  </r>
  <r>
    <x v="7"/>
    <x v="5"/>
    <x v="2"/>
    <x v="3"/>
    <x v="1"/>
    <x v="57"/>
    <x v="70"/>
    <x v="69"/>
    <x v="72"/>
  </r>
  <r>
    <x v="7"/>
    <x v="5"/>
    <x v="2"/>
    <x v="3"/>
    <x v="1"/>
    <x v="59"/>
    <x v="71"/>
    <x v="71"/>
    <x v="75"/>
  </r>
  <r>
    <x v="7"/>
    <x v="5"/>
    <x v="2"/>
    <x v="3"/>
    <x v="1"/>
    <x v="66"/>
    <x v="86"/>
    <x v="86"/>
    <x v="90"/>
  </r>
  <r>
    <x v="7"/>
    <x v="5"/>
    <x v="2"/>
    <x v="3"/>
    <x v="1"/>
    <x v="56"/>
    <x v="69"/>
    <x v="67"/>
    <x v="70"/>
  </r>
  <r>
    <x v="8"/>
    <x v="0"/>
    <x v="1"/>
    <x v="3"/>
    <x v="0"/>
    <x v="18"/>
    <x v="39"/>
    <x v="38"/>
    <x v="36"/>
  </r>
  <r>
    <x v="8"/>
    <x v="0"/>
    <x v="1"/>
    <x v="3"/>
    <x v="0"/>
    <x v="15"/>
    <x v="35"/>
    <x v="34"/>
    <x v="30"/>
  </r>
  <r>
    <x v="8"/>
    <x v="0"/>
    <x v="1"/>
    <x v="3"/>
    <x v="0"/>
    <x v="6"/>
    <x v="14"/>
    <x v="20"/>
    <x v="13"/>
  </r>
  <r>
    <x v="8"/>
    <x v="0"/>
    <x v="1"/>
    <x v="3"/>
    <x v="0"/>
    <x v="8"/>
    <x v="20"/>
    <x v="25"/>
    <x v="18"/>
  </r>
  <r>
    <x v="8"/>
    <x v="0"/>
    <x v="1"/>
    <x v="3"/>
    <x v="0"/>
    <x v="13"/>
    <x v="31"/>
    <x v="32"/>
    <x v="28"/>
  </r>
  <r>
    <x v="8"/>
    <x v="0"/>
    <x v="1"/>
    <x v="3"/>
    <x v="0"/>
    <x v="19"/>
    <x v="40"/>
    <x v="39"/>
    <x v="38"/>
  </r>
  <r>
    <x v="8"/>
    <x v="3"/>
    <x v="1"/>
    <x v="3"/>
    <x v="0"/>
    <x v="17"/>
    <x v="37"/>
    <x v="37"/>
    <x v="33"/>
  </r>
  <r>
    <x v="8"/>
    <x v="3"/>
    <x v="1"/>
    <x v="3"/>
    <x v="0"/>
    <x v="18"/>
    <x v="39"/>
    <x v="38"/>
    <x v="36"/>
  </r>
  <r>
    <x v="8"/>
    <x v="3"/>
    <x v="1"/>
    <x v="3"/>
    <x v="0"/>
    <x v="13"/>
    <x v="31"/>
    <x v="32"/>
    <x v="28"/>
  </r>
  <r>
    <x v="8"/>
    <x v="3"/>
    <x v="1"/>
    <x v="3"/>
    <x v="0"/>
    <x v="21"/>
    <x v="42"/>
    <x v="41"/>
    <x v="40"/>
  </r>
  <r>
    <x v="8"/>
    <x v="3"/>
    <x v="1"/>
    <x v="3"/>
    <x v="0"/>
    <x v="16"/>
    <x v="36"/>
    <x v="36"/>
    <x v="32"/>
  </r>
  <r>
    <x v="8"/>
    <x v="3"/>
    <x v="1"/>
    <x v="3"/>
    <x v="0"/>
    <x v="1"/>
    <x v="5"/>
    <x v="7"/>
    <x v="2"/>
  </r>
  <r>
    <x v="9"/>
    <x v="0"/>
    <x v="1"/>
    <x v="3"/>
    <x v="0"/>
    <x v="71"/>
    <x v="63"/>
    <x v="63"/>
    <x v="62"/>
  </r>
  <r>
    <x v="9"/>
    <x v="0"/>
    <x v="1"/>
    <x v="3"/>
    <x v="0"/>
    <x v="68"/>
    <x v="62"/>
    <x v="62"/>
    <x v="59"/>
  </r>
  <r>
    <x v="9"/>
    <x v="0"/>
    <x v="1"/>
    <x v="3"/>
    <x v="0"/>
    <x v="75"/>
    <x v="64"/>
    <x v="64"/>
    <x v="63"/>
  </r>
  <r>
    <x v="9"/>
    <x v="0"/>
    <x v="1"/>
    <x v="3"/>
    <x v="0"/>
    <x v="71"/>
    <x v="63"/>
    <x v="63"/>
    <x v="62"/>
  </r>
  <r>
    <x v="9"/>
    <x v="0"/>
    <x v="1"/>
    <x v="3"/>
    <x v="1"/>
    <x v="82"/>
    <x v="79"/>
    <x v="84"/>
    <x v="73"/>
  </r>
  <r>
    <x v="9"/>
    <x v="0"/>
    <x v="1"/>
    <x v="3"/>
    <x v="1"/>
    <x v="78"/>
    <x v="66"/>
    <x v="68"/>
    <x v="66"/>
  </r>
  <r>
    <x v="9"/>
    <x v="0"/>
    <x v="1"/>
    <x v="3"/>
    <x v="1"/>
    <x v="79"/>
    <x v="68"/>
    <x v="70"/>
    <x v="67"/>
  </r>
  <r>
    <x v="9"/>
    <x v="0"/>
    <x v="1"/>
    <x v="3"/>
    <x v="1"/>
    <x v="77"/>
    <x v="65"/>
    <x v="65"/>
    <x v="65"/>
  </r>
  <r>
    <x v="10"/>
    <x v="1"/>
    <x v="1"/>
    <x v="4"/>
    <x v="0"/>
    <x v="31"/>
    <x v="81"/>
    <x v="82"/>
    <x v="79"/>
  </r>
  <r>
    <x v="10"/>
    <x v="1"/>
    <x v="1"/>
    <x v="4"/>
    <x v="0"/>
    <x v="31"/>
    <x v="81"/>
    <x v="82"/>
    <x v="79"/>
  </r>
  <r>
    <x v="10"/>
    <x v="1"/>
    <x v="1"/>
    <x v="4"/>
    <x v="0"/>
    <x v="36"/>
    <x v="93"/>
    <x v="93"/>
    <x v="91"/>
  </r>
  <r>
    <x v="10"/>
    <x v="1"/>
    <x v="1"/>
    <x v="4"/>
    <x v="0"/>
    <x v="34"/>
    <x v="91"/>
    <x v="91"/>
    <x v="88"/>
  </r>
  <r>
    <x v="10"/>
    <x v="1"/>
    <x v="1"/>
    <x v="4"/>
    <x v="1"/>
    <x v="60"/>
    <x v="107"/>
    <x v="108"/>
    <x v="107"/>
  </r>
  <r>
    <x v="10"/>
    <x v="1"/>
    <x v="1"/>
    <x v="4"/>
    <x v="1"/>
    <x v="51"/>
    <x v="99"/>
    <x v="99"/>
    <x v="99"/>
  </r>
  <r>
    <x v="10"/>
    <x v="1"/>
    <x v="1"/>
    <x v="4"/>
    <x v="1"/>
    <x v="53"/>
    <x v="102"/>
    <x v="101"/>
    <x v="103"/>
  </r>
  <r>
    <x v="10"/>
    <x v="1"/>
    <x v="1"/>
    <x v="4"/>
    <x v="1"/>
    <x v="49"/>
    <x v="98"/>
    <x v="98"/>
    <x v="98"/>
  </r>
  <r>
    <x v="10"/>
    <x v="5"/>
    <x v="1"/>
    <x v="4"/>
    <x v="0"/>
    <x v="29"/>
    <x v="75"/>
    <x v="77"/>
    <x v="74"/>
  </r>
  <r>
    <x v="10"/>
    <x v="5"/>
    <x v="1"/>
    <x v="4"/>
    <x v="0"/>
    <x v="33"/>
    <x v="87"/>
    <x v="89"/>
    <x v="87"/>
  </r>
  <r>
    <x v="10"/>
    <x v="5"/>
    <x v="1"/>
    <x v="4"/>
    <x v="0"/>
    <x v="30"/>
    <x v="77"/>
    <x v="79"/>
    <x v="78"/>
  </r>
  <r>
    <x v="10"/>
    <x v="5"/>
    <x v="1"/>
    <x v="4"/>
    <x v="0"/>
    <x v="32"/>
    <x v="85"/>
    <x v="83"/>
    <x v="81"/>
  </r>
  <r>
    <x v="10"/>
    <x v="5"/>
    <x v="1"/>
    <x v="4"/>
    <x v="1"/>
    <x v="55"/>
    <x v="106"/>
    <x v="104"/>
    <x v="106"/>
  </r>
  <r>
    <x v="10"/>
    <x v="5"/>
    <x v="1"/>
    <x v="4"/>
    <x v="1"/>
    <x v="51"/>
    <x v="99"/>
    <x v="99"/>
    <x v="99"/>
  </r>
  <r>
    <x v="10"/>
    <x v="5"/>
    <x v="1"/>
    <x v="4"/>
    <x v="1"/>
    <x v="52"/>
    <x v="100"/>
    <x v="100"/>
    <x v="101"/>
  </r>
  <r>
    <x v="10"/>
    <x v="5"/>
    <x v="1"/>
    <x v="4"/>
    <x v="1"/>
    <x v="48"/>
    <x v="97"/>
    <x v="97"/>
    <x v="97"/>
  </r>
  <r>
    <x v="11"/>
    <x v="1"/>
    <x v="1"/>
    <x v="4"/>
    <x v="0"/>
    <x v="23"/>
    <x v="53"/>
    <x v="53"/>
    <x v="52"/>
  </r>
  <r>
    <x v="11"/>
    <x v="1"/>
    <x v="1"/>
    <x v="4"/>
    <x v="0"/>
    <x v="26"/>
    <x v="55"/>
    <x v="58"/>
    <x v="55"/>
  </r>
  <r>
    <x v="11"/>
    <x v="1"/>
    <x v="1"/>
    <x v="4"/>
    <x v="0"/>
    <x v="20"/>
    <x v="50"/>
    <x v="51"/>
    <x v="47"/>
  </r>
  <r>
    <x v="11"/>
    <x v="1"/>
    <x v="1"/>
    <x v="4"/>
    <x v="0"/>
    <x v="22"/>
    <x v="52"/>
    <x v="52"/>
    <x v="50"/>
  </r>
  <r>
    <x v="11"/>
    <x v="1"/>
    <x v="1"/>
    <x v="4"/>
    <x v="1"/>
    <x v="28"/>
    <x v="56"/>
    <x v="59"/>
    <x v="56"/>
  </r>
  <r>
    <x v="11"/>
    <x v="1"/>
    <x v="1"/>
    <x v="4"/>
    <x v="1"/>
    <x v="28"/>
    <x v="56"/>
    <x v="59"/>
    <x v="56"/>
  </r>
  <r>
    <x v="11"/>
    <x v="1"/>
    <x v="1"/>
    <x v="4"/>
    <x v="1"/>
    <x v="25"/>
    <x v="54"/>
    <x v="56"/>
    <x v="54"/>
  </r>
  <r>
    <x v="11"/>
    <x v="1"/>
    <x v="1"/>
    <x v="4"/>
    <x v="1"/>
    <x v="35"/>
    <x v="61"/>
    <x v="61"/>
    <x v="57"/>
  </r>
  <r>
    <x v="12"/>
    <x v="1"/>
    <x v="1"/>
    <x v="4"/>
    <x v="0"/>
    <x v="5"/>
    <x v="15"/>
    <x v="24"/>
    <x v="9"/>
  </r>
  <r>
    <x v="12"/>
    <x v="1"/>
    <x v="1"/>
    <x v="4"/>
    <x v="0"/>
    <x v="7"/>
    <x v="21"/>
    <x v="28"/>
    <x v="15"/>
  </r>
  <r>
    <x v="12"/>
    <x v="1"/>
    <x v="1"/>
    <x v="4"/>
    <x v="0"/>
    <x v="11"/>
    <x v="29"/>
    <x v="33"/>
    <x v="24"/>
  </r>
  <r>
    <x v="12"/>
    <x v="1"/>
    <x v="1"/>
    <x v="4"/>
    <x v="0"/>
    <x v="12"/>
    <x v="32"/>
    <x v="35"/>
    <x v="26"/>
  </r>
  <r>
    <x v="12"/>
    <x v="1"/>
    <x v="1"/>
    <x v="4"/>
    <x v="0"/>
    <x v="8"/>
    <x v="24"/>
    <x v="29"/>
    <x v="17"/>
  </r>
  <r>
    <x v="12"/>
    <x v="1"/>
    <x v="1"/>
    <x v="4"/>
    <x v="1"/>
    <x v="24"/>
    <x v="46"/>
    <x v="46"/>
    <x v="45"/>
  </r>
  <r>
    <x v="12"/>
    <x v="1"/>
    <x v="1"/>
    <x v="4"/>
    <x v="1"/>
    <x v="18"/>
    <x v="41"/>
    <x v="42"/>
    <x v="34"/>
  </r>
  <r>
    <x v="12"/>
    <x v="1"/>
    <x v="1"/>
    <x v="4"/>
    <x v="1"/>
    <x v="21"/>
    <x v="44"/>
    <x v="44"/>
    <x v="39"/>
  </r>
  <r>
    <x v="12"/>
    <x v="1"/>
    <x v="1"/>
    <x v="4"/>
    <x v="1"/>
    <x v="8"/>
    <x v="24"/>
    <x v="29"/>
    <x v="17"/>
  </r>
  <r>
    <x v="12"/>
    <x v="1"/>
    <x v="1"/>
    <x v="4"/>
    <x v="1"/>
    <x v="16"/>
    <x v="38"/>
    <x v="40"/>
    <x v="31"/>
  </r>
  <r>
    <x v="12"/>
    <x v="5"/>
    <x v="1"/>
    <x v="4"/>
    <x v="0"/>
    <x v="8"/>
    <x v="24"/>
    <x v="29"/>
    <x v="17"/>
  </r>
  <r>
    <x v="12"/>
    <x v="5"/>
    <x v="1"/>
    <x v="4"/>
    <x v="0"/>
    <x v="9"/>
    <x v="26"/>
    <x v="30"/>
    <x v="19"/>
  </r>
  <r>
    <x v="12"/>
    <x v="5"/>
    <x v="1"/>
    <x v="4"/>
    <x v="0"/>
    <x v="8"/>
    <x v="24"/>
    <x v="29"/>
    <x v="17"/>
  </r>
  <r>
    <x v="12"/>
    <x v="5"/>
    <x v="1"/>
    <x v="4"/>
    <x v="0"/>
    <x v="4"/>
    <x v="12"/>
    <x v="21"/>
    <x v="7"/>
  </r>
  <r>
    <x v="12"/>
    <x v="5"/>
    <x v="1"/>
    <x v="4"/>
    <x v="0"/>
    <x v="2"/>
    <x v="8"/>
    <x v="15"/>
    <x v="5"/>
  </r>
  <r>
    <x v="12"/>
    <x v="5"/>
    <x v="1"/>
    <x v="4"/>
    <x v="1"/>
    <x v="16"/>
    <x v="38"/>
    <x v="40"/>
    <x v="31"/>
  </r>
  <r>
    <x v="12"/>
    <x v="5"/>
    <x v="1"/>
    <x v="4"/>
    <x v="1"/>
    <x v="19"/>
    <x v="43"/>
    <x v="43"/>
    <x v="37"/>
  </r>
  <r>
    <x v="12"/>
    <x v="5"/>
    <x v="1"/>
    <x v="4"/>
    <x v="1"/>
    <x v="22"/>
    <x v="45"/>
    <x v="45"/>
    <x v="42"/>
  </r>
  <r>
    <x v="12"/>
    <x v="5"/>
    <x v="1"/>
    <x v="4"/>
    <x v="1"/>
    <x v="16"/>
    <x v="38"/>
    <x v="40"/>
    <x v="31"/>
  </r>
  <r>
    <x v="12"/>
    <x v="5"/>
    <x v="1"/>
    <x v="4"/>
    <x v="1"/>
    <x v="11"/>
    <x v="29"/>
    <x v="33"/>
    <x v="2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E22" firstHeaderRow="1" firstDataRow="2" firstDataCol="2"/>
  <pivotFields count="9">
    <pivotField axis="axisRow" compact="0" showAll="0" defaultSubtotal="0" outline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axis="axisCol" compact="0" showAll="0" defaultSubtotal="0" outline="0">
      <items count="2">
        <item x="0"/>
        <item x="1"/>
      </items>
    </pivotField>
    <pivotField compact="0" showAll="0"/>
    <pivotField compact="0" showAll="0"/>
    <pivotField compact="0" showAll="0"/>
    <pivotField dataField="1" compact="0" showAll="0" outline="0"/>
  </pivotFields>
  <rowFields count="2">
    <field x="0"/>
    <field x="1"/>
  </rowFields>
  <rowItems count="2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 v="19"/>
    </i>
  </rowItems>
  <colFields count="1">
    <field x="4"/>
  </colFields>
  <colItems count="3">
    <i>
      <x v="0"/>
    </i>
    <i>
      <x v="1"/>
    </i>
    <i t="grand">
      <x v="2"/>
    </i>
  </colItems>
  <dataFields count="1">
    <dataField name="Sum - profit" fld="8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35"/>
    <col collapsed="false" customWidth="true" hidden="false" outlineLevel="0" max="3" min="2" style="0" width="11.45"/>
    <col collapsed="false" customWidth="true" hidden="false" outlineLevel="0" max="4" min="4" style="0" width="15.9"/>
    <col collapsed="false" customWidth="true" hidden="false" outlineLevel="0" max="5" min="5" style="1" width="5.05"/>
    <col collapsed="false" customWidth="true" hidden="false" outlineLevel="0" max="6" min="6" style="1" width="4.07"/>
    <col collapsed="false" customWidth="true" hidden="false" outlineLevel="0" max="9" min="7" style="2" width="16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n">
        <v>0</v>
      </c>
      <c r="D2" s="0" t="s">
        <v>11</v>
      </c>
      <c r="E2" s="1" t="n">
        <v>2021</v>
      </c>
      <c r="F2" s="1" t="n">
        <v>118</v>
      </c>
      <c r="G2" s="2" t="n">
        <v>18762</v>
      </c>
      <c r="H2" s="2" t="n">
        <v>7016.98800000001</v>
      </c>
      <c r="I2" s="2" t="n">
        <v>11745.012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n">
        <v>0</v>
      </c>
      <c r="D3" s="0" t="s">
        <v>11</v>
      </c>
      <c r="E3" s="1" t="n">
        <v>2022</v>
      </c>
      <c r="F3" s="1" t="n">
        <v>116</v>
      </c>
      <c r="G3" s="2" t="n">
        <v>18444</v>
      </c>
      <c r="H3" s="2" t="n">
        <v>6898.05600000001</v>
      </c>
      <c r="I3" s="2" t="n">
        <v>11545.944</v>
      </c>
    </row>
    <row r="4" customFormat="false" ht="12.8" hidden="false" customHeight="false" outlineLevel="0" collapsed="false">
      <c r="A4" s="0" t="s">
        <v>12</v>
      </c>
      <c r="B4" s="0" t="s">
        <v>10</v>
      </c>
      <c r="C4" s="0" t="n">
        <v>0</v>
      </c>
      <c r="D4" s="0" t="s">
        <v>13</v>
      </c>
      <c r="E4" s="1" t="n">
        <v>2021</v>
      </c>
      <c r="F4" s="1" t="n">
        <v>135</v>
      </c>
      <c r="G4" s="2" t="n">
        <v>16200</v>
      </c>
      <c r="H4" s="2" t="n">
        <v>6058.80000000001</v>
      </c>
      <c r="I4" s="2" t="n">
        <v>10141.2</v>
      </c>
    </row>
    <row r="5" customFormat="false" ht="12.8" hidden="false" customHeight="false" outlineLevel="0" collapsed="false">
      <c r="A5" s="0" t="s">
        <v>12</v>
      </c>
      <c r="B5" s="0" t="s">
        <v>10</v>
      </c>
      <c r="C5" s="0" t="n">
        <v>0</v>
      </c>
      <c r="D5" s="0" t="s">
        <v>13</v>
      </c>
      <c r="E5" s="1" t="n">
        <v>2022</v>
      </c>
      <c r="F5" s="1" t="n">
        <v>167</v>
      </c>
      <c r="G5" s="2" t="n">
        <v>20040</v>
      </c>
      <c r="H5" s="2" t="n">
        <v>7494.96000000002</v>
      </c>
      <c r="I5" s="2" t="n">
        <v>12545.04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17</v>
      </c>
      <c r="E6" s="1" t="n">
        <v>2021</v>
      </c>
      <c r="F6" s="1" t="n">
        <v>301</v>
      </c>
      <c r="G6" s="2" t="n">
        <v>616778.558200002</v>
      </c>
      <c r="H6" s="2" t="n">
        <v>332848.809999999</v>
      </c>
      <c r="I6" s="2" t="n">
        <v>283929.748200001</v>
      </c>
    </row>
    <row r="7" customFormat="false" ht="12.8" hidden="false" customHeight="false" outlineLevel="0" collapsed="false">
      <c r="A7" s="0" t="s">
        <v>14</v>
      </c>
      <c r="B7" s="0" t="s">
        <v>15</v>
      </c>
      <c r="C7" s="0" t="s">
        <v>16</v>
      </c>
      <c r="D7" s="0" t="s">
        <v>17</v>
      </c>
      <c r="E7" s="1" t="n">
        <v>2021</v>
      </c>
      <c r="F7" s="1" t="n">
        <v>278</v>
      </c>
      <c r="G7" s="2" t="n">
        <v>569649.299600001</v>
      </c>
      <c r="H7" s="2" t="n">
        <v>307415.179999999</v>
      </c>
      <c r="I7" s="2" t="n">
        <v>262234.119600001</v>
      </c>
    </row>
    <row r="8" customFormat="false" ht="12.8" hidden="false" customHeight="false" outlineLevel="0" collapsed="false">
      <c r="A8" s="0" t="s">
        <v>14</v>
      </c>
      <c r="B8" s="0" t="s">
        <v>15</v>
      </c>
      <c r="C8" s="0" t="s">
        <v>16</v>
      </c>
      <c r="D8" s="0" t="s">
        <v>17</v>
      </c>
      <c r="E8" s="1" t="n">
        <v>2021</v>
      </c>
      <c r="F8" s="1" t="n">
        <v>268</v>
      </c>
      <c r="G8" s="2" t="n">
        <v>549158.317600001</v>
      </c>
      <c r="H8" s="2" t="n">
        <v>296357.08</v>
      </c>
      <c r="I8" s="2" t="n">
        <v>252801.237600001</v>
      </c>
    </row>
    <row r="9" customFormat="false" ht="12.8" hidden="false" customHeight="false" outlineLevel="0" collapsed="false">
      <c r="A9" s="0" t="s">
        <v>14</v>
      </c>
      <c r="B9" s="0" t="s">
        <v>15</v>
      </c>
      <c r="C9" s="0" t="s">
        <v>16</v>
      </c>
      <c r="D9" s="0" t="s">
        <v>17</v>
      </c>
      <c r="E9" s="1" t="n">
        <v>2022</v>
      </c>
      <c r="F9" s="1" t="n">
        <v>251</v>
      </c>
      <c r="G9" s="2" t="n">
        <v>514323.648200001</v>
      </c>
      <c r="H9" s="2" t="n">
        <v>277558.31</v>
      </c>
      <c r="I9" s="2" t="n">
        <v>236765.338200001</v>
      </c>
    </row>
    <row r="10" customFormat="false" ht="12.8" hidden="false" customHeight="false" outlineLevel="0" collapsed="false">
      <c r="A10" s="0" t="s">
        <v>14</v>
      </c>
      <c r="B10" s="0" t="s">
        <v>15</v>
      </c>
      <c r="C10" s="0" t="s">
        <v>16</v>
      </c>
      <c r="D10" s="0" t="s">
        <v>17</v>
      </c>
      <c r="E10" s="1" t="n">
        <v>2022</v>
      </c>
      <c r="F10" s="1" t="n">
        <v>246</v>
      </c>
      <c r="G10" s="2" t="n">
        <v>504078.157200001</v>
      </c>
      <c r="H10" s="2" t="n">
        <v>272029.26</v>
      </c>
      <c r="I10" s="2" t="n">
        <v>232048.897200001</v>
      </c>
    </row>
    <row r="11" customFormat="false" ht="12.8" hidden="false" customHeight="false" outlineLevel="0" collapsed="false">
      <c r="A11" s="0" t="s">
        <v>14</v>
      </c>
      <c r="B11" s="0" t="s">
        <v>15</v>
      </c>
      <c r="C11" s="0" t="s">
        <v>16</v>
      </c>
      <c r="D11" s="0" t="s">
        <v>17</v>
      </c>
      <c r="E11" s="1" t="n">
        <v>2022</v>
      </c>
      <c r="F11" s="1" t="n">
        <v>227</v>
      </c>
      <c r="G11" s="2" t="n">
        <v>465145.291400001</v>
      </c>
      <c r="H11" s="2" t="n">
        <v>251018.87</v>
      </c>
      <c r="I11" s="2" t="n">
        <v>214126.421400001</v>
      </c>
    </row>
    <row r="12" customFormat="false" ht="12.8" hidden="false" customHeight="false" outlineLevel="0" collapsed="false">
      <c r="A12" s="0" t="s">
        <v>14</v>
      </c>
      <c r="B12" s="0" t="s">
        <v>18</v>
      </c>
      <c r="C12" s="0" t="s">
        <v>16</v>
      </c>
      <c r="D12" s="0" t="s">
        <v>17</v>
      </c>
      <c r="E12" s="1" t="n">
        <v>2021</v>
      </c>
      <c r="F12" s="1" t="n">
        <v>274</v>
      </c>
      <c r="G12" s="2" t="n">
        <v>567568.970400003</v>
      </c>
      <c r="H12" s="2" t="n">
        <v>306292.5166</v>
      </c>
      <c r="I12" s="2" t="n">
        <v>261276.4538</v>
      </c>
    </row>
    <row r="13" customFormat="false" ht="12.8" hidden="false" customHeight="false" outlineLevel="0" collapsed="false">
      <c r="A13" s="0" t="s">
        <v>14</v>
      </c>
      <c r="B13" s="0" t="s">
        <v>18</v>
      </c>
      <c r="C13" s="0" t="s">
        <v>16</v>
      </c>
      <c r="D13" s="0" t="s">
        <v>17</v>
      </c>
      <c r="E13" s="1" t="n">
        <v>2021</v>
      </c>
      <c r="F13" s="1" t="n">
        <v>258</v>
      </c>
      <c r="G13" s="2" t="n">
        <v>534426.256800002</v>
      </c>
      <c r="H13" s="2" t="n">
        <v>288406.8222</v>
      </c>
      <c r="I13" s="2" t="n">
        <v>246019.4346</v>
      </c>
    </row>
    <row r="14" customFormat="false" ht="12.8" hidden="false" customHeight="false" outlineLevel="0" collapsed="false">
      <c r="A14" s="0" t="s">
        <v>14</v>
      </c>
      <c r="B14" s="0" t="s">
        <v>18</v>
      </c>
      <c r="C14" s="0" t="s">
        <v>16</v>
      </c>
      <c r="D14" s="0" t="s">
        <v>17</v>
      </c>
      <c r="E14" s="1" t="n">
        <v>2021</v>
      </c>
      <c r="F14" s="1" t="n">
        <v>277</v>
      </c>
      <c r="G14" s="2" t="n">
        <v>573783.229200003</v>
      </c>
      <c r="H14" s="2" t="n">
        <v>309646.0843</v>
      </c>
      <c r="I14" s="2" t="n">
        <v>264137.1449</v>
      </c>
    </row>
    <row r="15" customFormat="false" ht="12.8" hidden="false" customHeight="false" outlineLevel="0" collapsed="false">
      <c r="A15" s="0" t="s">
        <v>14</v>
      </c>
      <c r="B15" s="0" t="s">
        <v>18</v>
      </c>
      <c r="C15" s="0" t="s">
        <v>16</v>
      </c>
      <c r="D15" s="0" t="s">
        <v>17</v>
      </c>
      <c r="E15" s="1" t="n">
        <v>2022</v>
      </c>
      <c r="F15" s="1" t="n">
        <v>225</v>
      </c>
      <c r="G15" s="2" t="n">
        <v>466069.410000002</v>
      </c>
      <c r="H15" s="2" t="n">
        <v>251517.577499999</v>
      </c>
      <c r="I15" s="2" t="n">
        <v>214551.8325</v>
      </c>
    </row>
    <row r="16" customFormat="false" ht="12.8" hidden="false" customHeight="false" outlineLevel="0" collapsed="false">
      <c r="A16" s="0" t="s">
        <v>14</v>
      </c>
      <c r="B16" s="0" t="s">
        <v>18</v>
      </c>
      <c r="C16" s="0" t="s">
        <v>16</v>
      </c>
      <c r="D16" s="0" t="s">
        <v>17</v>
      </c>
      <c r="E16" s="1" t="n">
        <v>2022</v>
      </c>
      <c r="F16" s="1" t="n">
        <v>244</v>
      </c>
      <c r="G16" s="2" t="n">
        <v>505426.382400002</v>
      </c>
      <c r="H16" s="2" t="n">
        <v>272756.839599999</v>
      </c>
      <c r="I16" s="2" t="n">
        <v>232669.5428</v>
      </c>
    </row>
    <row r="17" customFormat="false" ht="12.8" hidden="false" customHeight="false" outlineLevel="0" collapsed="false">
      <c r="A17" s="0" t="s">
        <v>14</v>
      </c>
      <c r="B17" s="0" t="s">
        <v>18</v>
      </c>
      <c r="C17" s="0" t="s">
        <v>16</v>
      </c>
      <c r="D17" s="0" t="s">
        <v>17</v>
      </c>
      <c r="E17" s="1" t="n">
        <v>2022</v>
      </c>
      <c r="F17" s="1" t="n">
        <v>248</v>
      </c>
      <c r="G17" s="2" t="n">
        <v>513712.060800002</v>
      </c>
      <c r="H17" s="2" t="n">
        <v>277228.2632</v>
      </c>
      <c r="I17" s="2" t="n">
        <v>236483.7976</v>
      </c>
    </row>
    <row r="18" customFormat="false" ht="12.8" hidden="false" customHeight="false" outlineLevel="0" collapsed="false">
      <c r="A18" s="0" t="s">
        <v>19</v>
      </c>
      <c r="B18" s="0" t="s">
        <v>18</v>
      </c>
      <c r="C18" s="0" t="s">
        <v>20</v>
      </c>
      <c r="D18" s="0" t="s">
        <v>17</v>
      </c>
      <c r="E18" s="1" t="n">
        <v>2021</v>
      </c>
      <c r="F18" s="1" t="n">
        <v>57</v>
      </c>
      <c r="G18" s="2" t="n">
        <v>43860.93</v>
      </c>
      <c r="H18" s="2" t="n">
        <v>23927.3688</v>
      </c>
      <c r="I18" s="2" t="n">
        <v>19933.5612</v>
      </c>
    </row>
    <row r="19" customFormat="false" ht="12.8" hidden="false" customHeight="false" outlineLevel="0" collapsed="false">
      <c r="A19" s="0" t="s">
        <v>19</v>
      </c>
      <c r="B19" s="0" t="s">
        <v>18</v>
      </c>
      <c r="C19" s="0" t="s">
        <v>20</v>
      </c>
      <c r="D19" s="0" t="s">
        <v>17</v>
      </c>
      <c r="E19" s="1" t="n">
        <v>2021</v>
      </c>
      <c r="F19" s="1" t="n">
        <v>48</v>
      </c>
      <c r="G19" s="2" t="n">
        <v>36935.52</v>
      </c>
      <c r="H19" s="2" t="n">
        <v>20149.3632</v>
      </c>
      <c r="I19" s="2" t="n">
        <v>16786.1568</v>
      </c>
    </row>
    <row r="20" customFormat="false" ht="12.8" hidden="false" customHeight="false" outlineLevel="0" collapsed="false">
      <c r="A20" s="0" t="s">
        <v>19</v>
      </c>
      <c r="B20" s="0" t="s">
        <v>18</v>
      </c>
      <c r="C20" s="0" t="s">
        <v>20</v>
      </c>
      <c r="D20" s="0" t="s">
        <v>17</v>
      </c>
      <c r="E20" s="1" t="n">
        <v>2021</v>
      </c>
      <c r="F20" s="1" t="n">
        <v>47</v>
      </c>
      <c r="G20" s="2" t="n">
        <v>36166.03</v>
      </c>
      <c r="H20" s="2" t="n">
        <v>19729.5848</v>
      </c>
      <c r="I20" s="2" t="n">
        <v>16436.4452</v>
      </c>
    </row>
    <row r="21" customFormat="false" ht="12.8" hidden="false" customHeight="false" outlineLevel="0" collapsed="false">
      <c r="A21" s="0" t="s">
        <v>19</v>
      </c>
      <c r="B21" s="0" t="s">
        <v>18</v>
      </c>
      <c r="C21" s="0" t="s">
        <v>20</v>
      </c>
      <c r="D21" s="0" t="s">
        <v>17</v>
      </c>
      <c r="E21" s="1" t="n">
        <v>2021</v>
      </c>
      <c r="F21" s="1" t="n">
        <v>51</v>
      </c>
      <c r="G21" s="2" t="n">
        <v>39243.99</v>
      </c>
      <c r="H21" s="2" t="n">
        <v>21408.6984</v>
      </c>
      <c r="I21" s="2" t="n">
        <v>17835.2916</v>
      </c>
    </row>
    <row r="22" customFormat="false" ht="12.8" hidden="false" customHeight="false" outlineLevel="0" collapsed="false">
      <c r="A22" s="0" t="s">
        <v>19</v>
      </c>
      <c r="B22" s="0" t="s">
        <v>18</v>
      </c>
      <c r="C22" s="0" t="s">
        <v>20</v>
      </c>
      <c r="D22" s="0" t="s">
        <v>17</v>
      </c>
      <c r="E22" s="1" t="n">
        <v>2022</v>
      </c>
      <c r="F22" s="1" t="n">
        <v>89</v>
      </c>
      <c r="G22" s="2" t="n">
        <v>68484.61</v>
      </c>
      <c r="H22" s="2" t="n">
        <v>37360.2776</v>
      </c>
      <c r="I22" s="2" t="n">
        <v>31124.3324</v>
      </c>
    </row>
    <row r="23" customFormat="false" ht="12.8" hidden="false" customHeight="false" outlineLevel="0" collapsed="false">
      <c r="A23" s="0" t="s">
        <v>19</v>
      </c>
      <c r="B23" s="0" t="s">
        <v>18</v>
      </c>
      <c r="C23" s="0" t="s">
        <v>20</v>
      </c>
      <c r="D23" s="0" t="s">
        <v>17</v>
      </c>
      <c r="E23" s="1" t="n">
        <v>2022</v>
      </c>
      <c r="F23" s="1" t="n">
        <v>78</v>
      </c>
      <c r="G23" s="2" t="n">
        <v>60020.22</v>
      </c>
      <c r="H23" s="2" t="n">
        <v>32742.7152</v>
      </c>
      <c r="I23" s="2" t="n">
        <v>27277.5048</v>
      </c>
    </row>
    <row r="24" customFormat="false" ht="12.8" hidden="false" customHeight="false" outlineLevel="0" collapsed="false">
      <c r="A24" s="0" t="s">
        <v>19</v>
      </c>
      <c r="B24" s="0" t="s">
        <v>18</v>
      </c>
      <c r="C24" s="0" t="s">
        <v>20</v>
      </c>
      <c r="D24" s="0" t="s">
        <v>17</v>
      </c>
      <c r="E24" s="1" t="n">
        <v>2022</v>
      </c>
      <c r="F24" s="1" t="n">
        <v>79</v>
      </c>
      <c r="G24" s="2" t="n">
        <v>60789.71</v>
      </c>
      <c r="H24" s="2" t="n">
        <v>33162.4936</v>
      </c>
      <c r="I24" s="2" t="n">
        <v>27627.2164</v>
      </c>
    </row>
    <row r="25" customFormat="false" ht="12.8" hidden="false" customHeight="false" outlineLevel="0" collapsed="false">
      <c r="A25" s="0" t="s">
        <v>19</v>
      </c>
      <c r="B25" s="0" t="s">
        <v>18</v>
      </c>
      <c r="C25" s="0" t="s">
        <v>20</v>
      </c>
      <c r="D25" s="0" t="s">
        <v>17</v>
      </c>
      <c r="E25" s="1" t="n">
        <v>2022</v>
      </c>
      <c r="F25" s="1" t="n">
        <v>84</v>
      </c>
      <c r="G25" s="2" t="n">
        <v>64637.1599999999</v>
      </c>
      <c r="H25" s="2" t="n">
        <v>35261.3856</v>
      </c>
      <c r="I25" s="2" t="n">
        <v>29375.7744</v>
      </c>
    </row>
    <row r="26" customFormat="false" ht="12.8" hidden="false" customHeight="false" outlineLevel="0" collapsed="false">
      <c r="A26" s="0" t="s">
        <v>21</v>
      </c>
      <c r="B26" s="0" t="s">
        <v>15</v>
      </c>
      <c r="C26" s="0" t="s">
        <v>16</v>
      </c>
      <c r="D26" s="0" t="s">
        <v>17</v>
      </c>
      <c r="E26" s="1" t="n">
        <v>2021</v>
      </c>
      <c r="F26" s="1" t="n">
        <v>24</v>
      </c>
      <c r="G26" s="2" t="n">
        <v>12959.76</v>
      </c>
      <c r="H26" s="2" t="n">
        <v>7069.9128</v>
      </c>
      <c r="I26" s="2" t="n">
        <v>5889.8472</v>
      </c>
    </row>
    <row r="27" customFormat="false" ht="12.8" hidden="false" customHeight="false" outlineLevel="0" collapsed="false">
      <c r="A27" s="0" t="s">
        <v>21</v>
      </c>
      <c r="B27" s="0" t="s">
        <v>15</v>
      </c>
      <c r="C27" s="0" t="s">
        <v>16</v>
      </c>
      <c r="D27" s="0" t="s">
        <v>17</v>
      </c>
      <c r="E27" s="1" t="n">
        <v>2021</v>
      </c>
      <c r="F27" s="1" t="n">
        <v>23</v>
      </c>
      <c r="G27" s="2" t="n">
        <v>12419.77</v>
      </c>
      <c r="H27" s="2" t="n">
        <v>6775.3331</v>
      </c>
      <c r="I27" s="2" t="n">
        <v>5644.4369</v>
      </c>
    </row>
    <row r="28" customFormat="false" ht="12.8" hidden="false" customHeight="false" outlineLevel="0" collapsed="false">
      <c r="A28" s="0" t="s">
        <v>21</v>
      </c>
      <c r="B28" s="0" t="s">
        <v>15</v>
      </c>
      <c r="C28" s="0" t="s">
        <v>16</v>
      </c>
      <c r="D28" s="0" t="s">
        <v>17</v>
      </c>
      <c r="E28" s="1" t="n">
        <v>2021</v>
      </c>
      <c r="F28" s="1" t="n">
        <v>21</v>
      </c>
      <c r="G28" s="2" t="n">
        <v>11339.79</v>
      </c>
      <c r="H28" s="2" t="n">
        <v>6186.1737</v>
      </c>
      <c r="I28" s="2" t="n">
        <v>5153.6163</v>
      </c>
    </row>
    <row r="29" customFormat="false" ht="12.8" hidden="false" customHeight="false" outlineLevel="0" collapsed="false">
      <c r="A29" s="0" t="s">
        <v>21</v>
      </c>
      <c r="B29" s="0" t="s">
        <v>15</v>
      </c>
      <c r="C29" s="0" t="s">
        <v>16</v>
      </c>
      <c r="D29" s="0" t="s">
        <v>17</v>
      </c>
      <c r="E29" s="1" t="n">
        <v>2021</v>
      </c>
      <c r="F29" s="1" t="n">
        <v>13</v>
      </c>
      <c r="G29" s="2" t="n">
        <v>7019.87</v>
      </c>
      <c r="H29" s="2" t="n">
        <v>3829.5361</v>
      </c>
      <c r="I29" s="2" t="n">
        <v>3190.3339</v>
      </c>
    </row>
    <row r="30" customFormat="false" ht="12.8" hidden="false" customHeight="false" outlineLevel="0" collapsed="false">
      <c r="A30" s="0" t="s">
        <v>21</v>
      </c>
      <c r="B30" s="0" t="s">
        <v>15</v>
      </c>
      <c r="C30" s="0" t="s">
        <v>16</v>
      </c>
      <c r="D30" s="0" t="s">
        <v>17</v>
      </c>
      <c r="E30" s="1" t="n">
        <v>2021</v>
      </c>
      <c r="F30" s="1" t="n">
        <v>18</v>
      </c>
      <c r="G30" s="2" t="n">
        <v>9719.82</v>
      </c>
      <c r="H30" s="2" t="n">
        <v>5302.4346</v>
      </c>
      <c r="I30" s="2" t="n">
        <v>4417.3854</v>
      </c>
    </row>
    <row r="31" customFormat="false" ht="12.8" hidden="false" customHeight="false" outlineLevel="0" collapsed="false">
      <c r="A31" s="0" t="s">
        <v>21</v>
      </c>
      <c r="B31" s="0" t="s">
        <v>15</v>
      </c>
      <c r="C31" s="0" t="s">
        <v>16</v>
      </c>
      <c r="D31" s="0" t="s">
        <v>17</v>
      </c>
      <c r="E31" s="1" t="n">
        <v>2022</v>
      </c>
      <c r="F31" s="1" t="n">
        <v>25</v>
      </c>
      <c r="G31" s="2" t="n">
        <v>13499.75</v>
      </c>
      <c r="H31" s="2" t="n">
        <v>7364.4925</v>
      </c>
      <c r="I31" s="2" t="n">
        <v>6135.2575</v>
      </c>
    </row>
    <row r="32" customFormat="false" ht="12.8" hidden="false" customHeight="false" outlineLevel="0" collapsed="false">
      <c r="A32" s="0" t="s">
        <v>21</v>
      </c>
      <c r="B32" s="0" t="s">
        <v>15</v>
      </c>
      <c r="C32" s="0" t="s">
        <v>16</v>
      </c>
      <c r="D32" s="0" t="s">
        <v>17</v>
      </c>
      <c r="E32" s="1" t="n">
        <v>2022</v>
      </c>
      <c r="F32" s="1" t="n">
        <v>27</v>
      </c>
      <c r="G32" s="2" t="n">
        <v>14579.73</v>
      </c>
      <c r="H32" s="2" t="n">
        <v>7953.6519</v>
      </c>
      <c r="I32" s="2" t="n">
        <v>6626.0781</v>
      </c>
    </row>
    <row r="33" customFormat="false" ht="12.8" hidden="false" customHeight="false" outlineLevel="0" collapsed="false">
      <c r="A33" s="0" t="s">
        <v>21</v>
      </c>
      <c r="B33" s="0" t="s">
        <v>15</v>
      </c>
      <c r="C33" s="0" t="s">
        <v>16</v>
      </c>
      <c r="D33" s="0" t="s">
        <v>17</v>
      </c>
      <c r="E33" s="1" t="n">
        <v>2022</v>
      </c>
      <c r="F33" s="1" t="n">
        <v>32</v>
      </c>
      <c r="G33" s="2" t="n">
        <v>17279.68</v>
      </c>
      <c r="H33" s="2" t="n">
        <v>9426.55040000001</v>
      </c>
      <c r="I33" s="2" t="n">
        <v>7853.12959999999</v>
      </c>
    </row>
    <row r="34" customFormat="false" ht="12.8" hidden="false" customHeight="false" outlineLevel="0" collapsed="false">
      <c r="A34" s="0" t="s">
        <v>21</v>
      </c>
      <c r="B34" s="0" t="s">
        <v>15</v>
      </c>
      <c r="C34" s="0" t="s">
        <v>16</v>
      </c>
      <c r="D34" s="0" t="s">
        <v>17</v>
      </c>
      <c r="E34" s="1" t="n">
        <v>2022</v>
      </c>
      <c r="F34" s="1" t="n">
        <v>37</v>
      </c>
      <c r="G34" s="2" t="n">
        <v>19979.63</v>
      </c>
      <c r="H34" s="2" t="n">
        <v>10899.4489</v>
      </c>
      <c r="I34" s="2" t="n">
        <v>9080.18109999999</v>
      </c>
    </row>
    <row r="35" customFormat="false" ht="12.8" hidden="false" customHeight="false" outlineLevel="0" collapsed="false">
      <c r="A35" s="0" t="s">
        <v>21</v>
      </c>
      <c r="B35" s="0" t="s">
        <v>15</v>
      </c>
      <c r="C35" s="0" t="s">
        <v>16</v>
      </c>
      <c r="D35" s="0" t="s">
        <v>17</v>
      </c>
      <c r="E35" s="1" t="n">
        <v>2022</v>
      </c>
      <c r="F35" s="1" t="n">
        <v>28</v>
      </c>
      <c r="G35" s="2" t="n">
        <v>15119.72</v>
      </c>
      <c r="H35" s="2" t="n">
        <v>8248.23160000001</v>
      </c>
      <c r="I35" s="2" t="n">
        <v>6871.4884</v>
      </c>
    </row>
    <row r="36" customFormat="false" ht="12.8" hidden="false" customHeight="false" outlineLevel="0" collapsed="false">
      <c r="A36" s="0" t="s">
        <v>21</v>
      </c>
      <c r="B36" s="0" t="s">
        <v>18</v>
      </c>
      <c r="C36" s="0" t="s">
        <v>16</v>
      </c>
      <c r="D36" s="0" t="s">
        <v>17</v>
      </c>
      <c r="E36" s="1" t="n">
        <v>2021</v>
      </c>
      <c r="F36" s="1" t="n">
        <v>22</v>
      </c>
      <c r="G36" s="2" t="n">
        <v>12429.78</v>
      </c>
      <c r="H36" s="2" t="n">
        <v>6780.7938</v>
      </c>
      <c r="I36" s="2" t="n">
        <v>5648.9862</v>
      </c>
    </row>
    <row r="37" customFormat="false" ht="12.8" hidden="false" customHeight="false" outlineLevel="0" collapsed="false">
      <c r="A37" s="0" t="s">
        <v>21</v>
      </c>
      <c r="B37" s="0" t="s">
        <v>18</v>
      </c>
      <c r="C37" s="0" t="s">
        <v>16</v>
      </c>
      <c r="D37" s="0" t="s">
        <v>17</v>
      </c>
      <c r="E37" s="1" t="n">
        <v>2021</v>
      </c>
      <c r="F37" s="1" t="n">
        <v>18</v>
      </c>
      <c r="G37" s="2" t="n">
        <v>10169.82</v>
      </c>
      <c r="H37" s="2" t="n">
        <v>5547.9222</v>
      </c>
      <c r="I37" s="2" t="n">
        <v>4621.8978</v>
      </c>
    </row>
    <row r="38" customFormat="false" ht="12.8" hidden="false" customHeight="false" outlineLevel="0" collapsed="false">
      <c r="A38" s="0" t="s">
        <v>21</v>
      </c>
      <c r="B38" s="0" t="s">
        <v>18</v>
      </c>
      <c r="C38" s="0" t="s">
        <v>16</v>
      </c>
      <c r="D38" s="0" t="s">
        <v>17</v>
      </c>
      <c r="E38" s="1" t="n">
        <v>2021</v>
      </c>
      <c r="F38" s="1" t="n">
        <v>21</v>
      </c>
      <c r="G38" s="2" t="n">
        <v>11864.79</v>
      </c>
      <c r="H38" s="2" t="n">
        <v>6472.5759</v>
      </c>
      <c r="I38" s="2" t="n">
        <v>5392.2141</v>
      </c>
    </row>
    <row r="39" customFormat="false" ht="12.8" hidden="false" customHeight="false" outlineLevel="0" collapsed="false">
      <c r="A39" s="0" t="s">
        <v>21</v>
      </c>
      <c r="B39" s="0" t="s">
        <v>18</v>
      </c>
      <c r="C39" s="0" t="s">
        <v>16</v>
      </c>
      <c r="D39" s="0" t="s">
        <v>17</v>
      </c>
      <c r="E39" s="1" t="n">
        <v>2021</v>
      </c>
      <c r="F39" s="1" t="n">
        <v>17</v>
      </c>
      <c r="G39" s="2" t="n">
        <v>9604.83</v>
      </c>
      <c r="H39" s="2" t="n">
        <v>5239.7043</v>
      </c>
      <c r="I39" s="2" t="n">
        <v>4365.1257</v>
      </c>
    </row>
    <row r="40" customFormat="false" ht="12.8" hidden="false" customHeight="false" outlineLevel="0" collapsed="false">
      <c r="A40" s="0" t="s">
        <v>21</v>
      </c>
      <c r="B40" s="0" t="s">
        <v>18</v>
      </c>
      <c r="C40" s="0" t="s">
        <v>16</v>
      </c>
      <c r="D40" s="0" t="s">
        <v>17</v>
      </c>
      <c r="E40" s="1" t="n">
        <v>2021</v>
      </c>
      <c r="F40" s="1" t="n">
        <v>15</v>
      </c>
      <c r="G40" s="2" t="n">
        <v>8474.85</v>
      </c>
      <c r="H40" s="2" t="n">
        <v>4623.2685</v>
      </c>
      <c r="I40" s="2" t="n">
        <v>3851.5815</v>
      </c>
    </row>
    <row r="41" customFormat="false" ht="12.8" hidden="false" customHeight="false" outlineLevel="0" collapsed="false">
      <c r="A41" s="0" t="s">
        <v>21</v>
      </c>
      <c r="B41" s="0" t="s">
        <v>18</v>
      </c>
      <c r="C41" s="0" t="s">
        <v>16</v>
      </c>
      <c r="D41" s="0" t="s">
        <v>17</v>
      </c>
      <c r="E41" s="1" t="n">
        <v>2022</v>
      </c>
      <c r="F41" s="1" t="n">
        <v>30</v>
      </c>
      <c r="G41" s="2" t="n">
        <v>16949.7</v>
      </c>
      <c r="H41" s="2" t="n">
        <v>9246.537</v>
      </c>
      <c r="I41" s="2" t="n">
        <v>7703.163</v>
      </c>
    </row>
    <row r="42" customFormat="false" ht="12.8" hidden="false" customHeight="false" outlineLevel="0" collapsed="false">
      <c r="A42" s="0" t="s">
        <v>21</v>
      </c>
      <c r="B42" s="0" t="s">
        <v>18</v>
      </c>
      <c r="C42" s="0" t="s">
        <v>16</v>
      </c>
      <c r="D42" s="0" t="s">
        <v>17</v>
      </c>
      <c r="E42" s="1" t="n">
        <v>2022</v>
      </c>
      <c r="F42" s="1" t="n">
        <v>26</v>
      </c>
      <c r="G42" s="2" t="n">
        <v>14689.74</v>
      </c>
      <c r="H42" s="2" t="n">
        <v>8013.6654</v>
      </c>
      <c r="I42" s="2" t="n">
        <v>6676.0746</v>
      </c>
    </row>
    <row r="43" customFormat="false" ht="12.8" hidden="false" customHeight="false" outlineLevel="0" collapsed="false">
      <c r="A43" s="0" t="s">
        <v>21</v>
      </c>
      <c r="B43" s="0" t="s">
        <v>18</v>
      </c>
      <c r="C43" s="0" t="s">
        <v>16</v>
      </c>
      <c r="D43" s="0" t="s">
        <v>17</v>
      </c>
      <c r="E43" s="1" t="n">
        <v>2022</v>
      </c>
      <c r="F43" s="1" t="n">
        <v>28</v>
      </c>
      <c r="G43" s="2" t="n">
        <v>15819.72</v>
      </c>
      <c r="H43" s="2" t="n">
        <v>8630.1012</v>
      </c>
      <c r="I43" s="2" t="n">
        <v>7189.6188</v>
      </c>
    </row>
    <row r="44" customFormat="false" ht="12.8" hidden="false" customHeight="false" outlineLevel="0" collapsed="false">
      <c r="A44" s="0" t="s">
        <v>21</v>
      </c>
      <c r="B44" s="0" t="s">
        <v>18</v>
      </c>
      <c r="C44" s="0" t="s">
        <v>16</v>
      </c>
      <c r="D44" s="0" t="s">
        <v>17</v>
      </c>
      <c r="E44" s="1" t="n">
        <v>2022</v>
      </c>
      <c r="F44" s="1" t="n">
        <v>21</v>
      </c>
      <c r="G44" s="2" t="n">
        <v>11864.79</v>
      </c>
      <c r="H44" s="2" t="n">
        <v>6472.5759</v>
      </c>
      <c r="I44" s="2" t="n">
        <v>5392.2141</v>
      </c>
    </row>
    <row r="45" customFormat="false" ht="12.8" hidden="false" customHeight="false" outlineLevel="0" collapsed="false">
      <c r="A45" s="0" t="s">
        <v>21</v>
      </c>
      <c r="B45" s="0" t="s">
        <v>18</v>
      </c>
      <c r="C45" s="0" t="s">
        <v>16</v>
      </c>
      <c r="D45" s="0" t="s">
        <v>17</v>
      </c>
      <c r="E45" s="1" t="n">
        <v>2022</v>
      </c>
      <c r="F45" s="1" t="n">
        <v>27</v>
      </c>
      <c r="G45" s="2" t="n">
        <v>15254.73</v>
      </c>
      <c r="H45" s="2" t="n">
        <v>8321.8833</v>
      </c>
      <c r="I45" s="2" t="n">
        <v>6932.8467</v>
      </c>
    </row>
    <row r="46" customFormat="false" ht="12.8" hidden="false" customHeight="false" outlineLevel="0" collapsed="false">
      <c r="A46" s="0" t="s">
        <v>22</v>
      </c>
      <c r="B46" s="0" t="s">
        <v>15</v>
      </c>
      <c r="C46" s="0" t="s">
        <v>16</v>
      </c>
      <c r="D46" s="0" t="s">
        <v>23</v>
      </c>
      <c r="E46" s="1" t="n">
        <v>2021</v>
      </c>
      <c r="F46" s="1" t="n">
        <v>144</v>
      </c>
      <c r="G46" s="2" t="n">
        <v>314145</v>
      </c>
      <c r="H46" s="2" t="n">
        <v>190178.4672</v>
      </c>
      <c r="I46" s="2" t="n">
        <v>123966.5328</v>
      </c>
    </row>
    <row r="47" customFormat="false" ht="12.8" hidden="false" customHeight="false" outlineLevel="0" collapsed="false">
      <c r="A47" s="0" t="s">
        <v>22</v>
      </c>
      <c r="B47" s="0" t="s">
        <v>15</v>
      </c>
      <c r="C47" s="0" t="s">
        <v>16</v>
      </c>
      <c r="D47" s="0" t="s">
        <v>23</v>
      </c>
      <c r="E47" s="1" t="n">
        <v>2021</v>
      </c>
      <c r="F47" s="1" t="n">
        <v>147</v>
      </c>
      <c r="G47" s="2" t="n">
        <v>320689.6875</v>
      </c>
      <c r="H47" s="2" t="n">
        <v>194140.5186</v>
      </c>
      <c r="I47" s="2" t="n">
        <v>126549.1689</v>
      </c>
    </row>
    <row r="48" customFormat="false" ht="12.8" hidden="false" customHeight="false" outlineLevel="0" collapsed="false">
      <c r="A48" s="0" t="s">
        <v>22</v>
      </c>
      <c r="B48" s="0" t="s">
        <v>15</v>
      </c>
      <c r="C48" s="0" t="s">
        <v>16</v>
      </c>
      <c r="D48" s="0" t="s">
        <v>23</v>
      </c>
      <c r="E48" s="1" t="n">
        <v>2021</v>
      </c>
      <c r="F48" s="1" t="n">
        <v>151</v>
      </c>
      <c r="G48" s="2" t="n">
        <v>329415.9375</v>
      </c>
      <c r="H48" s="2" t="n">
        <v>199423.2538</v>
      </c>
      <c r="I48" s="2" t="n">
        <v>129992.6837</v>
      </c>
    </row>
    <row r="49" customFormat="false" ht="12.8" hidden="false" customHeight="false" outlineLevel="0" collapsed="false">
      <c r="A49" s="0" t="s">
        <v>22</v>
      </c>
      <c r="B49" s="0" t="s">
        <v>15</v>
      </c>
      <c r="C49" s="0" t="s">
        <v>16</v>
      </c>
      <c r="D49" s="0" t="s">
        <v>23</v>
      </c>
      <c r="E49" s="1" t="n">
        <v>2021</v>
      </c>
      <c r="F49" s="1" t="n">
        <v>130</v>
      </c>
      <c r="G49" s="2" t="n">
        <v>283603.125</v>
      </c>
      <c r="H49" s="2" t="n">
        <v>171688.894</v>
      </c>
      <c r="I49" s="2" t="n">
        <v>111914.231</v>
      </c>
    </row>
    <row r="50" customFormat="false" ht="12.8" hidden="false" customHeight="false" outlineLevel="0" collapsed="false">
      <c r="A50" s="0" t="s">
        <v>22</v>
      </c>
      <c r="B50" s="0" t="s">
        <v>15</v>
      </c>
      <c r="C50" s="0" t="s">
        <v>16</v>
      </c>
      <c r="D50" s="0" t="s">
        <v>23</v>
      </c>
      <c r="E50" s="1" t="n">
        <v>2022</v>
      </c>
      <c r="F50" s="1" t="n">
        <v>54</v>
      </c>
      <c r="G50" s="2" t="n">
        <v>117804.375</v>
      </c>
      <c r="H50" s="2" t="n">
        <v>71316.9252</v>
      </c>
      <c r="I50" s="2" t="n">
        <v>46487.4498</v>
      </c>
    </row>
    <row r="51" customFormat="false" ht="12.8" hidden="false" customHeight="false" outlineLevel="0" collapsed="false">
      <c r="A51" s="0" t="s">
        <v>22</v>
      </c>
      <c r="B51" s="0" t="s">
        <v>15</v>
      </c>
      <c r="C51" s="0" t="s">
        <v>16</v>
      </c>
      <c r="D51" s="0" t="s">
        <v>23</v>
      </c>
      <c r="E51" s="1" t="n">
        <v>2022</v>
      </c>
      <c r="F51" s="1" t="n">
        <v>59</v>
      </c>
      <c r="G51" s="2" t="n">
        <v>128712.1875</v>
      </c>
      <c r="H51" s="2" t="n">
        <v>77920.3442</v>
      </c>
      <c r="I51" s="2" t="n">
        <v>50791.8433</v>
      </c>
    </row>
    <row r="52" customFormat="false" ht="12.8" hidden="false" customHeight="false" outlineLevel="0" collapsed="false">
      <c r="A52" s="0" t="s">
        <v>22</v>
      </c>
      <c r="B52" s="0" t="s">
        <v>15</v>
      </c>
      <c r="C52" s="0" t="s">
        <v>16</v>
      </c>
      <c r="D52" s="0" t="s">
        <v>23</v>
      </c>
      <c r="E52" s="1" t="n">
        <v>2022</v>
      </c>
      <c r="F52" s="1" t="n">
        <v>57</v>
      </c>
      <c r="G52" s="2" t="n">
        <v>124349.0625</v>
      </c>
      <c r="H52" s="2" t="n">
        <v>75278.9766</v>
      </c>
      <c r="I52" s="2" t="n">
        <v>49070.0859</v>
      </c>
    </row>
    <row r="53" customFormat="false" ht="12.8" hidden="false" customHeight="false" outlineLevel="0" collapsed="false">
      <c r="A53" s="0" t="s">
        <v>22</v>
      </c>
      <c r="B53" s="0" t="s">
        <v>15</v>
      </c>
      <c r="C53" s="0" t="s">
        <v>16</v>
      </c>
      <c r="D53" s="0" t="s">
        <v>23</v>
      </c>
      <c r="E53" s="1" t="n">
        <v>2022</v>
      </c>
      <c r="F53" s="1" t="n">
        <v>64</v>
      </c>
      <c r="G53" s="2" t="n">
        <v>139620</v>
      </c>
      <c r="H53" s="2" t="n">
        <v>84523.7632</v>
      </c>
      <c r="I53" s="2" t="n">
        <v>55096.2368</v>
      </c>
    </row>
    <row r="54" customFormat="false" ht="12.8" hidden="false" customHeight="false" outlineLevel="0" collapsed="false">
      <c r="A54" s="0" t="s">
        <v>22</v>
      </c>
      <c r="B54" s="0" t="s">
        <v>24</v>
      </c>
      <c r="C54" s="0" t="s">
        <v>16</v>
      </c>
      <c r="D54" s="0" t="s">
        <v>23</v>
      </c>
      <c r="E54" s="1" t="n">
        <v>2021</v>
      </c>
      <c r="F54" s="1" t="n">
        <v>70</v>
      </c>
      <c r="G54" s="2" t="n">
        <v>171034.5</v>
      </c>
      <c r="H54" s="2" t="n">
        <v>106315.048</v>
      </c>
      <c r="I54" s="2" t="n">
        <v>64719.4520000001</v>
      </c>
    </row>
    <row r="55" customFormat="false" ht="12.8" hidden="false" customHeight="false" outlineLevel="0" collapsed="false">
      <c r="A55" s="0" t="s">
        <v>22</v>
      </c>
      <c r="B55" s="0" t="s">
        <v>24</v>
      </c>
      <c r="C55" s="0" t="s">
        <v>16</v>
      </c>
      <c r="D55" s="0" t="s">
        <v>23</v>
      </c>
      <c r="E55" s="1" t="n">
        <v>2021</v>
      </c>
      <c r="F55" s="1" t="n">
        <v>71</v>
      </c>
      <c r="G55" s="2" t="n">
        <v>173477.85</v>
      </c>
      <c r="H55" s="2" t="n">
        <v>107833.8344</v>
      </c>
      <c r="I55" s="2" t="n">
        <v>65644.0156000001</v>
      </c>
    </row>
    <row r="56" customFormat="false" ht="12.8" hidden="false" customHeight="false" outlineLevel="0" collapsed="false">
      <c r="A56" s="0" t="s">
        <v>22</v>
      </c>
      <c r="B56" s="0" t="s">
        <v>24</v>
      </c>
      <c r="C56" s="0" t="s">
        <v>16</v>
      </c>
      <c r="D56" s="0" t="s">
        <v>23</v>
      </c>
      <c r="E56" s="1" t="n">
        <v>2021</v>
      </c>
      <c r="F56" s="1" t="n">
        <v>48</v>
      </c>
      <c r="G56" s="2" t="n">
        <v>117280.8</v>
      </c>
      <c r="H56" s="2" t="n">
        <v>72901.7471999999</v>
      </c>
      <c r="I56" s="2" t="n">
        <v>44379.0528</v>
      </c>
    </row>
    <row r="57" customFormat="false" ht="12.8" hidden="false" customHeight="false" outlineLevel="0" collapsed="false">
      <c r="A57" s="0" t="s">
        <v>22</v>
      </c>
      <c r="B57" s="0" t="s">
        <v>24</v>
      </c>
      <c r="C57" s="0" t="s">
        <v>16</v>
      </c>
      <c r="D57" s="0" t="s">
        <v>23</v>
      </c>
      <c r="E57" s="1" t="n">
        <v>2021</v>
      </c>
      <c r="F57" s="1" t="n">
        <v>134</v>
      </c>
      <c r="G57" s="2" t="n">
        <v>292329.375</v>
      </c>
      <c r="H57" s="2" t="n">
        <v>176971.6292</v>
      </c>
      <c r="I57" s="2" t="n">
        <v>115357.7458</v>
      </c>
    </row>
    <row r="58" customFormat="false" ht="12.8" hidden="false" customHeight="false" outlineLevel="0" collapsed="false">
      <c r="A58" s="0" t="s">
        <v>22</v>
      </c>
      <c r="B58" s="0" t="s">
        <v>24</v>
      </c>
      <c r="C58" s="0" t="s">
        <v>16</v>
      </c>
      <c r="D58" s="0" t="s">
        <v>23</v>
      </c>
      <c r="E58" s="1" t="n">
        <v>2022</v>
      </c>
      <c r="F58" s="1" t="n">
        <v>63</v>
      </c>
      <c r="G58" s="2" t="n">
        <v>137438.4375</v>
      </c>
      <c r="H58" s="2" t="n">
        <v>83203.0794</v>
      </c>
      <c r="I58" s="2" t="n">
        <v>54235.3581</v>
      </c>
    </row>
    <row r="59" customFormat="false" ht="12.8" hidden="false" customHeight="false" outlineLevel="0" collapsed="false">
      <c r="A59" s="0" t="s">
        <v>25</v>
      </c>
      <c r="B59" s="0" t="s">
        <v>26</v>
      </c>
      <c r="C59" s="0" t="s">
        <v>20</v>
      </c>
      <c r="D59" s="0" t="s">
        <v>23</v>
      </c>
      <c r="E59" s="1" t="n">
        <v>2021</v>
      </c>
      <c r="F59" s="1" t="n">
        <v>86</v>
      </c>
      <c r="G59" s="2" t="n">
        <v>146285.14</v>
      </c>
      <c r="H59" s="2" t="n">
        <v>93095.8599999999</v>
      </c>
      <c r="I59" s="2" t="n">
        <v>53189.2800000001</v>
      </c>
    </row>
    <row r="60" customFormat="false" ht="12.8" hidden="false" customHeight="false" outlineLevel="0" collapsed="false">
      <c r="A60" s="0" t="s">
        <v>25</v>
      </c>
      <c r="B60" s="0" t="s">
        <v>26</v>
      </c>
      <c r="C60" s="0" t="s">
        <v>20</v>
      </c>
      <c r="D60" s="0" t="s">
        <v>23</v>
      </c>
      <c r="E60" s="1" t="n">
        <v>2021</v>
      </c>
      <c r="F60" s="1" t="n">
        <v>75</v>
      </c>
      <c r="G60" s="2" t="n">
        <v>127574.25</v>
      </c>
      <c r="H60" s="2" t="n">
        <v>81188.25</v>
      </c>
      <c r="I60" s="2" t="n">
        <v>46386.0000000001</v>
      </c>
    </row>
    <row r="61" customFormat="false" ht="12.8" hidden="false" customHeight="false" outlineLevel="0" collapsed="false">
      <c r="A61" s="0" t="s">
        <v>25</v>
      </c>
      <c r="B61" s="0" t="s">
        <v>26</v>
      </c>
      <c r="C61" s="0" t="s">
        <v>20</v>
      </c>
      <c r="D61" s="0" t="s">
        <v>23</v>
      </c>
      <c r="E61" s="1" t="n">
        <v>2021</v>
      </c>
      <c r="F61" s="1" t="n">
        <v>69</v>
      </c>
      <c r="G61" s="2" t="n">
        <v>117368.31</v>
      </c>
      <c r="H61" s="2" t="n">
        <v>74693.19</v>
      </c>
      <c r="I61" s="2" t="n">
        <v>42675.12</v>
      </c>
    </row>
    <row r="62" customFormat="false" ht="12.8" hidden="false" customHeight="false" outlineLevel="0" collapsed="false">
      <c r="A62" s="0" t="s">
        <v>25</v>
      </c>
      <c r="B62" s="0" t="s">
        <v>26</v>
      </c>
      <c r="C62" s="0" t="s">
        <v>20</v>
      </c>
      <c r="D62" s="0" t="s">
        <v>23</v>
      </c>
      <c r="E62" s="1" t="n">
        <v>2021</v>
      </c>
      <c r="F62" s="1" t="n">
        <v>81</v>
      </c>
      <c r="G62" s="2" t="n">
        <v>137780.19</v>
      </c>
      <c r="H62" s="2" t="n">
        <v>87683.3099999999</v>
      </c>
      <c r="I62" s="2" t="n">
        <v>50096.8800000001</v>
      </c>
    </row>
    <row r="63" customFormat="false" ht="12.8" hidden="false" customHeight="false" outlineLevel="0" collapsed="false">
      <c r="A63" s="0" t="s">
        <v>25</v>
      </c>
      <c r="B63" s="0" t="s">
        <v>26</v>
      </c>
      <c r="C63" s="0" t="s">
        <v>20</v>
      </c>
      <c r="D63" s="0" t="s">
        <v>23</v>
      </c>
      <c r="E63" s="1" t="n">
        <v>2022</v>
      </c>
      <c r="F63" s="1" t="n">
        <v>154</v>
      </c>
      <c r="G63" s="2" t="n">
        <v>261952.459999999</v>
      </c>
      <c r="H63" s="2" t="n">
        <v>166706.54</v>
      </c>
      <c r="I63" s="2" t="n">
        <v>95245.92</v>
      </c>
    </row>
    <row r="64" customFormat="false" ht="12.8" hidden="false" customHeight="false" outlineLevel="0" collapsed="false">
      <c r="A64" s="0" t="s">
        <v>25</v>
      </c>
      <c r="B64" s="0" t="s">
        <v>26</v>
      </c>
      <c r="C64" s="0" t="s">
        <v>20</v>
      </c>
      <c r="D64" s="0" t="s">
        <v>23</v>
      </c>
      <c r="E64" s="1" t="n">
        <v>2022</v>
      </c>
      <c r="F64" s="1" t="n">
        <v>150</v>
      </c>
      <c r="G64" s="2" t="n">
        <v>255148.5</v>
      </c>
      <c r="H64" s="2" t="n">
        <v>162376.5</v>
      </c>
      <c r="I64" s="2" t="n">
        <v>92772</v>
      </c>
    </row>
    <row r="65" customFormat="false" ht="12.8" hidden="false" customHeight="false" outlineLevel="0" collapsed="false">
      <c r="A65" s="0" t="s">
        <v>25</v>
      </c>
      <c r="B65" s="0" t="s">
        <v>26</v>
      </c>
      <c r="C65" s="0" t="s">
        <v>20</v>
      </c>
      <c r="D65" s="0" t="s">
        <v>23</v>
      </c>
      <c r="E65" s="1" t="n">
        <v>2022</v>
      </c>
      <c r="F65" s="1" t="n">
        <v>144</v>
      </c>
      <c r="G65" s="2" t="n">
        <v>244942.56</v>
      </c>
      <c r="H65" s="2" t="n">
        <v>155881.44</v>
      </c>
      <c r="I65" s="2" t="n">
        <v>89061.12</v>
      </c>
    </row>
    <row r="66" customFormat="false" ht="12.8" hidden="false" customHeight="false" outlineLevel="0" collapsed="false">
      <c r="A66" s="0" t="s">
        <v>25</v>
      </c>
      <c r="B66" s="0" t="s">
        <v>26</v>
      </c>
      <c r="C66" s="0" t="s">
        <v>20</v>
      </c>
      <c r="D66" s="0" t="s">
        <v>23</v>
      </c>
      <c r="E66" s="1" t="n">
        <v>2022</v>
      </c>
      <c r="F66" s="1" t="n">
        <v>152</v>
      </c>
      <c r="G66" s="2" t="n">
        <v>258550.48</v>
      </c>
      <c r="H66" s="2" t="n">
        <v>164541.52</v>
      </c>
      <c r="I66" s="2" t="n">
        <v>94008.96</v>
      </c>
    </row>
    <row r="67" customFormat="false" ht="12.8" hidden="false" customHeight="false" outlineLevel="0" collapsed="false">
      <c r="A67" s="0" t="s">
        <v>27</v>
      </c>
      <c r="B67" s="0" t="s">
        <v>26</v>
      </c>
      <c r="C67" s="0" t="s">
        <v>20</v>
      </c>
      <c r="D67" s="0" t="s">
        <v>23</v>
      </c>
      <c r="E67" s="1" t="n">
        <v>2021</v>
      </c>
      <c r="F67" s="1" t="n">
        <v>126</v>
      </c>
      <c r="G67" s="2" t="n">
        <v>126055.125</v>
      </c>
      <c r="H67" s="2" t="n">
        <v>76311.7992</v>
      </c>
      <c r="I67" s="2" t="n">
        <v>49743.3258</v>
      </c>
    </row>
    <row r="68" customFormat="false" ht="12.8" hidden="false" customHeight="false" outlineLevel="0" collapsed="false">
      <c r="A68" s="0" t="s">
        <v>27</v>
      </c>
      <c r="B68" s="0" t="s">
        <v>26</v>
      </c>
      <c r="C68" s="0" t="s">
        <v>20</v>
      </c>
      <c r="D68" s="0" t="s">
        <v>23</v>
      </c>
      <c r="E68" s="1" t="n">
        <v>2021</v>
      </c>
      <c r="F68" s="1" t="n">
        <v>109</v>
      </c>
      <c r="G68" s="2" t="n">
        <v>109047.6875</v>
      </c>
      <c r="H68" s="2" t="n">
        <v>66015.7628</v>
      </c>
      <c r="I68" s="2" t="n">
        <v>43031.9247</v>
      </c>
    </row>
    <row r="69" customFormat="false" ht="12.8" hidden="false" customHeight="false" outlineLevel="0" collapsed="false">
      <c r="A69" s="0" t="s">
        <v>27</v>
      </c>
      <c r="B69" s="0" t="s">
        <v>26</v>
      </c>
      <c r="C69" s="0" t="s">
        <v>20</v>
      </c>
      <c r="D69" s="0" t="s">
        <v>23</v>
      </c>
      <c r="E69" s="1" t="n">
        <v>2021</v>
      </c>
      <c r="F69" s="1" t="n">
        <v>128</v>
      </c>
      <c r="G69" s="2" t="n">
        <v>128056</v>
      </c>
      <c r="H69" s="2" t="n">
        <v>77523.0976</v>
      </c>
      <c r="I69" s="2" t="n">
        <v>50532.9024</v>
      </c>
    </row>
    <row r="70" customFormat="false" ht="12.8" hidden="false" customHeight="false" outlineLevel="0" collapsed="false">
      <c r="A70" s="0" t="s">
        <v>27</v>
      </c>
      <c r="B70" s="0" t="s">
        <v>26</v>
      </c>
      <c r="C70" s="0" t="s">
        <v>20</v>
      </c>
      <c r="D70" s="0" t="s">
        <v>23</v>
      </c>
      <c r="E70" s="1" t="n">
        <v>2021</v>
      </c>
      <c r="F70" s="1" t="n">
        <v>138</v>
      </c>
      <c r="G70" s="2" t="n">
        <v>138060.375</v>
      </c>
      <c r="H70" s="2" t="n">
        <v>83579.5896</v>
      </c>
      <c r="I70" s="2" t="n">
        <v>54480.7854</v>
      </c>
    </row>
    <row r="71" customFormat="false" ht="12.8" hidden="false" customHeight="false" outlineLevel="0" collapsed="false">
      <c r="A71" s="0" t="s">
        <v>27</v>
      </c>
      <c r="B71" s="0" t="s">
        <v>26</v>
      </c>
      <c r="C71" s="0" t="s">
        <v>20</v>
      </c>
      <c r="D71" s="0" t="s">
        <v>23</v>
      </c>
      <c r="E71" s="1" t="n">
        <v>2021</v>
      </c>
      <c r="F71" s="1" t="n">
        <v>112</v>
      </c>
      <c r="G71" s="2" t="n">
        <v>112049</v>
      </c>
      <c r="H71" s="2" t="n">
        <v>67832.7104</v>
      </c>
      <c r="I71" s="2" t="n">
        <v>44216.2896</v>
      </c>
    </row>
    <row r="72" customFormat="false" ht="12.8" hidden="false" customHeight="false" outlineLevel="0" collapsed="false">
      <c r="A72" s="0" t="s">
        <v>27</v>
      </c>
      <c r="B72" s="0" t="s">
        <v>26</v>
      </c>
      <c r="C72" s="0" t="s">
        <v>20</v>
      </c>
      <c r="D72" s="0" t="s">
        <v>23</v>
      </c>
      <c r="E72" s="1" t="n">
        <v>2022</v>
      </c>
      <c r="F72" s="1" t="n">
        <v>123</v>
      </c>
      <c r="G72" s="2" t="n">
        <v>123053.8125</v>
      </c>
      <c r="H72" s="2" t="n">
        <v>74494.8516</v>
      </c>
      <c r="I72" s="2" t="n">
        <v>48558.9609</v>
      </c>
    </row>
    <row r="73" customFormat="false" ht="12.8" hidden="false" customHeight="false" outlineLevel="0" collapsed="false">
      <c r="A73" s="0" t="s">
        <v>27</v>
      </c>
      <c r="B73" s="0" t="s">
        <v>26</v>
      </c>
      <c r="C73" s="0" t="s">
        <v>20</v>
      </c>
      <c r="D73" s="0" t="s">
        <v>23</v>
      </c>
      <c r="E73" s="1" t="n">
        <v>2022</v>
      </c>
      <c r="F73" s="1" t="n">
        <v>114</v>
      </c>
      <c r="G73" s="2" t="n">
        <v>114049.875</v>
      </c>
      <c r="H73" s="2" t="n">
        <v>69044.0088</v>
      </c>
      <c r="I73" s="2" t="n">
        <v>45005.8662</v>
      </c>
    </row>
    <row r="74" customFormat="false" ht="12.8" hidden="false" customHeight="false" outlineLevel="0" collapsed="false">
      <c r="A74" s="0" t="s">
        <v>27</v>
      </c>
      <c r="B74" s="0" t="s">
        <v>26</v>
      </c>
      <c r="C74" s="0" t="s">
        <v>20</v>
      </c>
      <c r="D74" s="0" t="s">
        <v>23</v>
      </c>
      <c r="E74" s="1" t="n">
        <v>2022</v>
      </c>
      <c r="F74" s="1" t="n">
        <v>117</v>
      </c>
      <c r="G74" s="2" t="n">
        <v>117051.1875</v>
      </c>
      <c r="H74" s="2" t="n">
        <v>70860.9564</v>
      </c>
      <c r="I74" s="2" t="n">
        <v>46190.2311</v>
      </c>
    </row>
    <row r="75" customFormat="false" ht="12.8" hidden="false" customHeight="false" outlineLevel="0" collapsed="false">
      <c r="A75" s="0" t="s">
        <v>27</v>
      </c>
      <c r="B75" s="0" t="s">
        <v>26</v>
      </c>
      <c r="C75" s="0" t="s">
        <v>20</v>
      </c>
      <c r="D75" s="0" t="s">
        <v>23</v>
      </c>
      <c r="E75" s="1" t="n">
        <v>2022</v>
      </c>
      <c r="F75" s="1" t="n">
        <v>135</v>
      </c>
      <c r="G75" s="2" t="n">
        <v>135059.0625</v>
      </c>
      <c r="H75" s="2" t="n">
        <v>81762.642</v>
      </c>
      <c r="I75" s="2" t="n">
        <v>53296.4205</v>
      </c>
    </row>
    <row r="76" customFormat="false" ht="12.8" hidden="false" customHeight="false" outlineLevel="0" collapsed="false">
      <c r="A76" s="0" t="s">
        <v>27</v>
      </c>
      <c r="B76" s="0" t="s">
        <v>26</v>
      </c>
      <c r="C76" s="0" t="s">
        <v>20</v>
      </c>
      <c r="D76" s="0" t="s">
        <v>23</v>
      </c>
      <c r="E76" s="1" t="n">
        <v>2022</v>
      </c>
      <c r="F76" s="1" t="n">
        <v>112</v>
      </c>
      <c r="G76" s="2" t="n">
        <v>112049</v>
      </c>
      <c r="H76" s="2" t="n">
        <v>67832.7104</v>
      </c>
      <c r="I76" s="2" t="n">
        <v>44216.2896</v>
      </c>
    </row>
    <row r="77" customFormat="false" ht="12.8" hidden="false" customHeight="false" outlineLevel="0" collapsed="false">
      <c r="A77" s="0" t="s">
        <v>28</v>
      </c>
      <c r="B77" s="0" t="s">
        <v>15</v>
      </c>
      <c r="C77" s="0" t="s">
        <v>16</v>
      </c>
      <c r="D77" s="0" t="s">
        <v>23</v>
      </c>
      <c r="E77" s="1" t="n">
        <v>2021</v>
      </c>
      <c r="F77" s="1" t="n">
        <v>32</v>
      </c>
      <c r="G77" s="2" t="n">
        <v>22371.1424</v>
      </c>
      <c r="H77" s="2" t="n">
        <v>13220.6816</v>
      </c>
      <c r="I77" s="2" t="n">
        <v>9150.4608</v>
      </c>
    </row>
    <row r="78" customFormat="false" ht="12.8" hidden="false" customHeight="false" outlineLevel="0" collapsed="false">
      <c r="A78" s="0" t="s">
        <v>28</v>
      </c>
      <c r="B78" s="0" t="s">
        <v>15</v>
      </c>
      <c r="C78" s="0" t="s">
        <v>16</v>
      </c>
      <c r="D78" s="0" t="s">
        <v>23</v>
      </c>
      <c r="E78" s="1" t="n">
        <v>2021</v>
      </c>
      <c r="F78" s="1" t="n">
        <v>29</v>
      </c>
      <c r="G78" s="2" t="n">
        <v>20273.8478</v>
      </c>
      <c r="H78" s="2" t="n">
        <v>11981.2427</v>
      </c>
      <c r="I78" s="2" t="n">
        <v>8292.6051</v>
      </c>
    </row>
    <row r="79" customFormat="false" ht="12.8" hidden="false" customHeight="false" outlineLevel="0" collapsed="false">
      <c r="A79" s="0" t="s">
        <v>28</v>
      </c>
      <c r="B79" s="0" t="s">
        <v>15</v>
      </c>
      <c r="C79" s="0" t="s">
        <v>16</v>
      </c>
      <c r="D79" s="0" t="s">
        <v>23</v>
      </c>
      <c r="E79" s="1" t="n">
        <v>2021</v>
      </c>
      <c r="F79" s="1" t="n">
        <v>20</v>
      </c>
      <c r="G79" s="2" t="n">
        <v>13981.964</v>
      </c>
      <c r="H79" s="2" t="n">
        <v>8262.926</v>
      </c>
      <c r="I79" s="2" t="n">
        <v>5719.038</v>
      </c>
    </row>
    <row r="80" customFormat="false" ht="12.8" hidden="false" customHeight="false" outlineLevel="0" collapsed="false">
      <c r="A80" s="0" t="s">
        <v>28</v>
      </c>
      <c r="B80" s="0" t="s">
        <v>15</v>
      </c>
      <c r="C80" s="0" t="s">
        <v>16</v>
      </c>
      <c r="D80" s="0" t="s">
        <v>23</v>
      </c>
      <c r="E80" s="1" t="n">
        <v>2021</v>
      </c>
      <c r="F80" s="1" t="n">
        <v>22</v>
      </c>
      <c r="G80" s="2" t="n">
        <v>15380.1604</v>
      </c>
      <c r="H80" s="2" t="n">
        <v>9089.2186</v>
      </c>
      <c r="I80" s="2" t="n">
        <v>6290.9418</v>
      </c>
    </row>
    <row r="81" customFormat="false" ht="12.8" hidden="false" customHeight="false" outlineLevel="0" collapsed="false">
      <c r="A81" s="0" t="s">
        <v>28</v>
      </c>
      <c r="B81" s="0" t="s">
        <v>15</v>
      </c>
      <c r="C81" s="0" t="s">
        <v>16</v>
      </c>
      <c r="D81" s="0" t="s">
        <v>23</v>
      </c>
      <c r="E81" s="1" t="n">
        <v>2021</v>
      </c>
      <c r="F81" s="1" t="n">
        <v>27</v>
      </c>
      <c r="G81" s="2" t="n">
        <v>18875.6514</v>
      </c>
      <c r="H81" s="2" t="n">
        <v>11154.9501</v>
      </c>
      <c r="I81" s="2" t="n">
        <v>7720.7013</v>
      </c>
    </row>
    <row r="82" customFormat="false" ht="12.8" hidden="false" customHeight="false" outlineLevel="0" collapsed="false">
      <c r="A82" s="0" t="s">
        <v>28</v>
      </c>
      <c r="B82" s="0" t="s">
        <v>15</v>
      </c>
      <c r="C82" s="0" t="s">
        <v>16</v>
      </c>
      <c r="D82" s="0" t="s">
        <v>23</v>
      </c>
      <c r="E82" s="1" t="n">
        <v>2021</v>
      </c>
      <c r="F82" s="1" t="n">
        <v>33</v>
      </c>
      <c r="G82" s="2" t="n">
        <v>23070.2406</v>
      </c>
      <c r="H82" s="2" t="n">
        <v>13633.8279</v>
      </c>
      <c r="I82" s="2" t="n">
        <v>9436.4127</v>
      </c>
    </row>
    <row r="83" customFormat="false" ht="12.8" hidden="false" customHeight="false" outlineLevel="0" collapsed="false">
      <c r="A83" s="0" t="s">
        <v>28</v>
      </c>
      <c r="B83" s="0" t="s">
        <v>24</v>
      </c>
      <c r="C83" s="0" t="s">
        <v>16</v>
      </c>
      <c r="D83" s="0" t="s">
        <v>23</v>
      </c>
      <c r="E83" s="1" t="n">
        <v>2021</v>
      </c>
      <c r="F83" s="1" t="n">
        <v>31</v>
      </c>
      <c r="G83" s="2" t="n">
        <v>21672.0442</v>
      </c>
      <c r="H83" s="2" t="n">
        <v>12807.5353</v>
      </c>
      <c r="I83" s="2" t="n">
        <v>8864.5089</v>
      </c>
    </row>
    <row r="84" customFormat="false" ht="12.8" hidden="false" customHeight="false" outlineLevel="0" collapsed="false">
      <c r="A84" s="0" t="s">
        <v>28</v>
      </c>
      <c r="B84" s="0" t="s">
        <v>24</v>
      </c>
      <c r="C84" s="0" t="s">
        <v>16</v>
      </c>
      <c r="D84" s="0" t="s">
        <v>23</v>
      </c>
      <c r="E84" s="1" t="n">
        <v>2021</v>
      </c>
      <c r="F84" s="1" t="n">
        <v>32</v>
      </c>
      <c r="G84" s="2" t="n">
        <v>22371.1424</v>
      </c>
      <c r="H84" s="2" t="n">
        <v>13220.6816</v>
      </c>
      <c r="I84" s="2" t="n">
        <v>9150.4608</v>
      </c>
    </row>
    <row r="85" customFormat="false" ht="12.8" hidden="false" customHeight="false" outlineLevel="0" collapsed="false">
      <c r="A85" s="0" t="s">
        <v>28</v>
      </c>
      <c r="B85" s="0" t="s">
        <v>24</v>
      </c>
      <c r="C85" s="0" t="s">
        <v>16</v>
      </c>
      <c r="D85" s="0" t="s">
        <v>23</v>
      </c>
      <c r="E85" s="1" t="n">
        <v>2021</v>
      </c>
      <c r="F85" s="1" t="n">
        <v>27</v>
      </c>
      <c r="G85" s="2" t="n">
        <v>18875.6514</v>
      </c>
      <c r="H85" s="2" t="n">
        <v>11154.9501</v>
      </c>
      <c r="I85" s="2" t="n">
        <v>7720.7013</v>
      </c>
    </row>
    <row r="86" customFormat="false" ht="12.8" hidden="false" customHeight="false" outlineLevel="0" collapsed="false">
      <c r="A86" s="0" t="s">
        <v>28</v>
      </c>
      <c r="B86" s="0" t="s">
        <v>24</v>
      </c>
      <c r="C86" s="0" t="s">
        <v>16</v>
      </c>
      <c r="D86" s="0" t="s">
        <v>23</v>
      </c>
      <c r="E86" s="1" t="n">
        <v>2021</v>
      </c>
      <c r="F86" s="1" t="n">
        <v>35</v>
      </c>
      <c r="G86" s="2" t="n">
        <v>24468.437</v>
      </c>
      <c r="H86" s="2" t="n">
        <v>14460.1205</v>
      </c>
      <c r="I86" s="2" t="n">
        <v>10008.3165</v>
      </c>
    </row>
    <row r="87" customFormat="false" ht="12.8" hidden="false" customHeight="false" outlineLevel="0" collapsed="false">
      <c r="A87" s="0" t="s">
        <v>28</v>
      </c>
      <c r="B87" s="0" t="s">
        <v>24</v>
      </c>
      <c r="C87" s="0" t="s">
        <v>16</v>
      </c>
      <c r="D87" s="0" t="s">
        <v>23</v>
      </c>
      <c r="E87" s="1" t="n">
        <v>2021</v>
      </c>
      <c r="F87" s="1" t="n">
        <v>30</v>
      </c>
      <c r="G87" s="2" t="n">
        <v>20972.946</v>
      </c>
      <c r="H87" s="2" t="n">
        <v>12394.389</v>
      </c>
      <c r="I87" s="2" t="n">
        <v>8578.557</v>
      </c>
    </row>
    <row r="88" customFormat="false" ht="12.8" hidden="false" customHeight="false" outlineLevel="0" collapsed="false">
      <c r="A88" s="0" t="s">
        <v>28</v>
      </c>
      <c r="B88" s="0" t="s">
        <v>24</v>
      </c>
      <c r="C88" s="0" t="s">
        <v>16</v>
      </c>
      <c r="D88" s="0" t="s">
        <v>23</v>
      </c>
      <c r="E88" s="1" t="n">
        <v>2021</v>
      </c>
      <c r="F88" s="1" t="n">
        <v>15</v>
      </c>
      <c r="G88" s="2" t="n">
        <v>10486.473</v>
      </c>
      <c r="H88" s="2" t="n">
        <v>6197.1945</v>
      </c>
      <c r="I88" s="2" t="n">
        <v>4289.2785</v>
      </c>
    </row>
    <row r="89" customFormat="false" ht="12.8" hidden="false" customHeight="false" outlineLevel="0" collapsed="false">
      <c r="A89" s="0" t="s">
        <v>29</v>
      </c>
      <c r="B89" s="0" t="s">
        <v>15</v>
      </c>
      <c r="C89" s="0" t="s">
        <v>16</v>
      </c>
      <c r="D89" s="0" t="s">
        <v>23</v>
      </c>
      <c r="E89" s="1" t="n">
        <v>2021</v>
      </c>
      <c r="F89" s="1" t="n">
        <v>150</v>
      </c>
      <c r="G89" s="2" t="n">
        <v>80998.5000000001</v>
      </c>
      <c r="H89" s="2" t="n">
        <v>51547.4399999999</v>
      </c>
      <c r="I89" s="2" t="n">
        <v>29451.06</v>
      </c>
    </row>
    <row r="90" customFormat="false" ht="12.8" hidden="false" customHeight="false" outlineLevel="0" collapsed="false">
      <c r="A90" s="0" t="s">
        <v>29</v>
      </c>
      <c r="B90" s="0" t="s">
        <v>15</v>
      </c>
      <c r="C90" s="0" t="s">
        <v>16</v>
      </c>
      <c r="D90" s="0" t="s">
        <v>23</v>
      </c>
      <c r="E90" s="1" t="n">
        <v>2021</v>
      </c>
      <c r="F90" s="1" t="n">
        <v>140</v>
      </c>
      <c r="G90" s="2" t="n">
        <v>75598.6</v>
      </c>
      <c r="H90" s="2" t="n">
        <v>48110.9439999999</v>
      </c>
      <c r="I90" s="2" t="n">
        <v>27487.656</v>
      </c>
    </row>
    <row r="91" customFormat="false" ht="12.8" hidden="false" customHeight="false" outlineLevel="0" collapsed="false">
      <c r="A91" s="0" t="s">
        <v>29</v>
      </c>
      <c r="B91" s="0" t="s">
        <v>15</v>
      </c>
      <c r="C91" s="0" t="s">
        <v>16</v>
      </c>
      <c r="D91" s="0" t="s">
        <v>23</v>
      </c>
      <c r="E91" s="1" t="n">
        <v>2021</v>
      </c>
      <c r="F91" s="1" t="n">
        <v>156</v>
      </c>
      <c r="G91" s="2" t="n">
        <v>84238.4400000001</v>
      </c>
      <c r="H91" s="2" t="n">
        <v>53609.3375999999</v>
      </c>
      <c r="I91" s="2" t="n">
        <v>30629.1024</v>
      </c>
    </row>
    <row r="92" customFormat="false" ht="12.8" hidden="false" customHeight="false" outlineLevel="0" collapsed="false">
      <c r="A92" s="0" t="s">
        <v>29</v>
      </c>
      <c r="B92" s="0" t="s">
        <v>15</v>
      </c>
      <c r="C92" s="0" t="s">
        <v>16</v>
      </c>
      <c r="D92" s="0" t="s">
        <v>23</v>
      </c>
      <c r="E92" s="1" t="n">
        <v>2021</v>
      </c>
      <c r="F92" s="1" t="n">
        <v>150</v>
      </c>
      <c r="G92" s="2" t="n">
        <v>80998.5000000001</v>
      </c>
      <c r="H92" s="2" t="n">
        <v>51547.4399999999</v>
      </c>
      <c r="I92" s="2" t="n">
        <v>29451.06</v>
      </c>
    </row>
    <row r="93" customFormat="false" ht="12.8" hidden="false" customHeight="false" outlineLevel="0" collapsed="false">
      <c r="A93" s="0" t="s">
        <v>29</v>
      </c>
      <c r="B93" s="0" t="s">
        <v>15</v>
      </c>
      <c r="C93" s="0" t="s">
        <v>16</v>
      </c>
      <c r="D93" s="0" t="s">
        <v>23</v>
      </c>
      <c r="E93" s="1" t="n">
        <v>2022</v>
      </c>
      <c r="F93" s="1" t="n">
        <v>233</v>
      </c>
      <c r="G93" s="2" t="n">
        <v>125817.670000001</v>
      </c>
      <c r="H93" s="2" t="n">
        <v>80070.3567999999</v>
      </c>
      <c r="I93" s="2" t="n">
        <v>45747.3132000001</v>
      </c>
    </row>
    <row r="94" customFormat="false" ht="12.8" hidden="false" customHeight="false" outlineLevel="0" collapsed="false">
      <c r="A94" s="0" t="s">
        <v>29</v>
      </c>
      <c r="B94" s="0" t="s">
        <v>15</v>
      </c>
      <c r="C94" s="0" t="s">
        <v>16</v>
      </c>
      <c r="D94" s="0" t="s">
        <v>23</v>
      </c>
      <c r="E94" s="1" t="n">
        <v>2022</v>
      </c>
      <c r="F94" s="1" t="n">
        <v>199</v>
      </c>
      <c r="G94" s="2" t="n">
        <v>107458.01</v>
      </c>
      <c r="H94" s="2" t="n">
        <v>68386.2703999998</v>
      </c>
      <c r="I94" s="2" t="n">
        <v>39071.7396000001</v>
      </c>
    </row>
    <row r="95" customFormat="false" ht="12.8" hidden="false" customHeight="false" outlineLevel="0" collapsed="false">
      <c r="A95" s="0" t="s">
        <v>29</v>
      </c>
      <c r="B95" s="0" t="s">
        <v>15</v>
      </c>
      <c r="C95" s="0" t="s">
        <v>16</v>
      </c>
      <c r="D95" s="0" t="s">
        <v>23</v>
      </c>
      <c r="E95" s="1" t="n">
        <v>2022</v>
      </c>
      <c r="F95" s="1" t="n">
        <v>206</v>
      </c>
      <c r="G95" s="2" t="n">
        <v>111237.94</v>
      </c>
      <c r="H95" s="2" t="n">
        <v>70791.8175999998</v>
      </c>
      <c r="I95" s="2" t="n">
        <v>40446.1224000001</v>
      </c>
    </row>
    <row r="96" customFormat="false" ht="12.8" hidden="false" customHeight="false" outlineLevel="0" collapsed="false">
      <c r="A96" s="0" t="s">
        <v>29</v>
      </c>
      <c r="B96" s="0" t="s">
        <v>15</v>
      </c>
      <c r="C96" s="0" t="s">
        <v>16</v>
      </c>
      <c r="D96" s="0" t="s">
        <v>23</v>
      </c>
      <c r="E96" s="1" t="n">
        <v>2022</v>
      </c>
      <c r="F96" s="1" t="n">
        <v>188</v>
      </c>
      <c r="G96" s="2" t="n">
        <v>101518.12</v>
      </c>
      <c r="H96" s="2" t="n">
        <v>64606.1247999998</v>
      </c>
      <c r="I96" s="2" t="n">
        <v>36911.9952000001</v>
      </c>
    </row>
    <row r="97" customFormat="false" ht="12.8" hidden="false" customHeight="false" outlineLevel="0" collapsed="false">
      <c r="A97" s="0" t="s">
        <v>30</v>
      </c>
      <c r="B97" s="0" t="s">
        <v>31</v>
      </c>
      <c r="C97" s="0" t="s">
        <v>16</v>
      </c>
      <c r="D97" s="0" t="s">
        <v>32</v>
      </c>
      <c r="E97" s="1" t="n">
        <v>2021</v>
      </c>
      <c r="F97" s="1" t="n">
        <v>53</v>
      </c>
      <c r="G97" s="2" t="n">
        <v>126355.71</v>
      </c>
      <c r="H97" s="2" t="n">
        <v>78542.7087</v>
      </c>
      <c r="I97" s="2" t="n">
        <v>47813.0013</v>
      </c>
    </row>
    <row r="98" customFormat="false" ht="12.8" hidden="false" customHeight="false" outlineLevel="0" collapsed="false">
      <c r="A98" s="0" t="s">
        <v>30</v>
      </c>
      <c r="B98" s="0" t="s">
        <v>31</v>
      </c>
      <c r="C98" s="0" t="s">
        <v>16</v>
      </c>
      <c r="D98" s="0" t="s">
        <v>32</v>
      </c>
      <c r="E98" s="1" t="n">
        <v>2021</v>
      </c>
      <c r="F98" s="1" t="n">
        <v>53</v>
      </c>
      <c r="G98" s="2" t="n">
        <v>126355.71</v>
      </c>
      <c r="H98" s="2" t="n">
        <v>78542.7087</v>
      </c>
      <c r="I98" s="2" t="n">
        <v>47813.0013</v>
      </c>
    </row>
    <row r="99" customFormat="false" ht="12.8" hidden="false" customHeight="false" outlineLevel="0" collapsed="false">
      <c r="A99" s="0" t="s">
        <v>30</v>
      </c>
      <c r="B99" s="0" t="s">
        <v>31</v>
      </c>
      <c r="C99" s="0" t="s">
        <v>16</v>
      </c>
      <c r="D99" s="0" t="s">
        <v>32</v>
      </c>
      <c r="E99" s="1" t="n">
        <v>2021</v>
      </c>
      <c r="F99" s="1" t="n">
        <v>60</v>
      </c>
      <c r="G99" s="2" t="n">
        <v>143044.2</v>
      </c>
      <c r="H99" s="2" t="n">
        <v>88916.274</v>
      </c>
      <c r="I99" s="2" t="n">
        <v>54127.9260000001</v>
      </c>
    </row>
    <row r="100" customFormat="false" ht="12.8" hidden="false" customHeight="false" outlineLevel="0" collapsed="false">
      <c r="A100" s="0" t="s">
        <v>30</v>
      </c>
      <c r="B100" s="0" t="s">
        <v>31</v>
      </c>
      <c r="C100" s="0" t="s">
        <v>16</v>
      </c>
      <c r="D100" s="0" t="s">
        <v>32</v>
      </c>
      <c r="E100" s="1" t="n">
        <v>2021</v>
      </c>
      <c r="F100" s="1" t="n">
        <v>58</v>
      </c>
      <c r="G100" s="2" t="n">
        <v>138276.06</v>
      </c>
      <c r="H100" s="2" t="n">
        <v>85952.3982</v>
      </c>
      <c r="I100" s="2" t="n">
        <v>52323.6618</v>
      </c>
    </row>
    <row r="101" customFormat="false" ht="12.8" hidden="false" customHeight="false" outlineLevel="0" collapsed="false">
      <c r="A101" s="0" t="s">
        <v>30</v>
      </c>
      <c r="B101" s="0" t="s">
        <v>31</v>
      </c>
      <c r="C101" s="0" t="s">
        <v>16</v>
      </c>
      <c r="D101" s="0" t="s">
        <v>32</v>
      </c>
      <c r="E101" s="1" t="n">
        <v>2022</v>
      </c>
      <c r="F101" s="1" t="n">
        <v>118</v>
      </c>
      <c r="G101" s="2" t="n">
        <v>281320.260000001</v>
      </c>
      <c r="H101" s="2" t="n">
        <v>174868.6722</v>
      </c>
      <c r="I101" s="2" t="n">
        <v>106451.5878</v>
      </c>
    </row>
    <row r="102" customFormat="false" ht="12.8" hidden="false" customHeight="false" outlineLevel="0" collapsed="false">
      <c r="A102" s="0" t="s">
        <v>30</v>
      </c>
      <c r="B102" s="0" t="s">
        <v>31</v>
      </c>
      <c r="C102" s="0" t="s">
        <v>16</v>
      </c>
      <c r="D102" s="0" t="s">
        <v>32</v>
      </c>
      <c r="E102" s="1" t="n">
        <v>2022</v>
      </c>
      <c r="F102" s="1" t="n">
        <v>94</v>
      </c>
      <c r="G102" s="2" t="n">
        <v>224102.58</v>
      </c>
      <c r="H102" s="2" t="n">
        <v>139302.1626</v>
      </c>
      <c r="I102" s="2" t="n">
        <v>84800.4174000001</v>
      </c>
    </row>
    <row r="103" customFormat="false" ht="12.8" hidden="false" customHeight="false" outlineLevel="0" collapsed="false">
      <c r="A103" s="0" t="s">
        <v>30</v>
      </c>
      <c r="B103" s="0" t="s">
        <v>31</v>
      </c>
      <c r="C103" s="0" t="s">
        <v>16</v>
      </c>
      <c r="D103" s="0" t="s">
        <v>32</v>
      </c>
      <c r="E103" s="1" t="n">
        <v>2022</v>
      </c>
      <c r="F103" s="1" t="n">
        <v>104</v>
      </c>
      <c r="G103" s="2" t="n">
        <v>247943.280000001</v>
      </c>
      <c r="H103" s="2" t="n">
        <v>154121.5416</v>
      </c>
      <c r="I103" s="2" t="n">
        <v>93821.7384000002</v>
      </c>
    </row>
    <row r="104" customFormat="false" ht="12.8" hidden="false" customHeight="false" outlineLevel="0" collapsed="false">
      <c r="A104" s="0" t="s">
        <v>30</v>
      </c>
      <c r="B104" s="0" t="s">
        <v>31</v>
      </c>
      <c r="C104" s="0" t="s">
        <v>16</v>
      </c>
      <c r="D104" s="0" t="s">
        <v>32</v>
      </c>
      <c r="E104" s="1" t="n">
        <v>2022</v>
      </c>
      <c r="F104" s="1" t="n">
        <v>88</v>
      </c>
      <c r="G104" s="2" t="n">
        <v>209798.16</v>
      </c>
      <c r="H104" s="2" t="n">
        <v>130410.5352</v>
      </c>
      <c r="I104" s="2" t="n">
        <v>79387.6248000001</v>
      </c>
    </row>
    <row r="105" customFormat="false" ht="12.8" hidden="false" customHeight="false" outlineLevel="0" collapsed="false">
      <c r="A105" s="0" t="s">
        <v>30</v>
      </c>
      <c r="B105" s="0" t="s">
        <v>26</v>
      </c>
      <c r="C105" s="0" t="s">
        <v>16</v>
      </c>
      <c r="D105" s="0" t="s">
        <v>32</v>
      </c>
      <c r="E105" s="1" t="n">
        <v>2021</v>
      </c>
      <c r="F105" s="1" t="n">
        <v>51</v>
      </c>
      <c r="G105" s="2" t="n">
        <v>121587.57</v>
      </c>
      <c r="H105" s="2" t="n">
        <v>75578.8329</v>
      </c>
      <c r="I105" s="2" t="n">
        <v>46008.7371</v>
      </c>
    </row>
    <row r="106" customFormat="false" ht="12.8" hidden="false" customHeight="false" outlineLevel="0" collapsed="false">
      <c r="A106" s="0" t="s">
        <v>30</v>
      </c>
      <c r="B106" s="0" t="s">
        <v>26</v>
      </c>
      <c r="C106" s="0" t="s">
        <v>16</v>
      </c>
      <c r="D106" s="0" t="s">
        <v>32</v>
      </c>
      <c r="E106" s="1" t="n">
        <v>2021</v>
      </c>
      <c r="F106" s="1" t="n">
        <v>57</v>
      </c>
      <c r="G106" s="2" t="n">
        <v>135891.99</v>
      </c>
      <c r="H106" s="2" t="n">
        <v>84470.4603</v>
      </c>
      <c r="I106" s="2" t="n">
        <v>51421.5297</v>
      </c>
    </row>
    <row r="107" customFormat="false" ht="12.8" hidden="false" customHeight="false" outlineLevel="0" collapsed="false">
      <c r="A107" s="0" t="s">
        <v>30</v>
      </c>
      <c r="B107" s="0" t="s">
        <v>26</v>
      </c>
      <c r="C107" s="0" t="s">
        <v>16</v>
      </c>
      <c r="D107" s="0" t="s">
        <v>32</v>
      </c>
      <c r="E107" s="1" t="n">
        <v>2021</v>
      </c>
      <c r="F107" s="1" t="n">
        <v>52</v>
      </c>
      <c r="G107" s="2" t="n">
        <v>123971.64</v>
      </c>
      <c r="H107" s="2" t="n">
        <v>77060.7708</v>
      </c>
      <c r="I107" s="2" t="n">
        <v>46910.8692</v>
      </c>
    </row>
    <row r="108" customFormat="false" ht="12.8" hidden="false" customHeight="false" outlineLevel="0" collapsed="false">
      <c r="A108" s="0" t="s">
        <v>30</v>
      </c>
      <c r="B108" s="0" t="s">
        <v>26</v>
      </c>
      <c r="C108" s="0" t="s">
        <v>16</v>
      </c>
      <c r="D108" s="0" t="s">
        <v>32</v>
      </c>
      <c r="E108" s="1" t="n">
        <v>2021</v>
      </c>
      <c r="F108" s="1" t="n">
        <v>54</v>
      </c>
      <c r="G108" s="2" t="n">
        <v>128739.78</v>
      </c>
      <c r="H108" s="2" t="n">
        <v>80024.6466</v>
      </c>
      <c r="I108" s="2" t="n">
        <v>48715.1334</v>
      </c>
    </row>
    <row r="109" customFormat="false" ht="12.8" hidden="false" customHeight="false" outlineLevel="0" collapsed="false">
      <c r="A109" s="0" t="s">
        <v>30</v>
      </c>
      <c r="B109" s="0" t="s">
        <v>26</v>
      </c>
      <c r="C109" s="0" t="s">
        <v>16</v>
      </c>
      <c r="D109" s="0" t="s">
        <v>32</v>
      </c>
      <c r="E109" s="1" t="n">
        <v>2022</v>
      </c>
      <c r="F109" s="1" t="n">
        <v>111</v>
      </c>
      <c r="G109" s="2" t="n">
        <v>264631.770000001</v>
      </c>
      <c r="H109" s="2" t="n">
        <v>164495.1069</v>
      </c>
      <c r="I109" s="2" t="n">
        <v>100136.6631</v>
      </c>
    </row>
    <row r="110" customFormat="false" ht="12.8" hidden="false" customHeight="false" outlineLevel="0" collapsed="false">
      <c r="A110" s="0" t="s">
        <v>30</v>
      </c>
      <c r="B110" s="0" t="s">
        <v>26</v>
      </c>
      <c r="C110" s="0" t="s">
        <v>16</v>
      </c>
      <c r="D110" s="0" t="s">
        <v>32</v>
      </c>
      <c r="E110" s="1" t="n">
        <v>2022</v>
      </c>
      <c r="F110" s="1" t="n">
        <v>94</v>
      </c>
      <c r="G110" s="2" t="n">
        <v>224102.58</v>
      </c>
      <c r="H110" s="2" t="n">
        <v>139302.1626</v>
      </c>
      <c r="I110" s="2" t="n">
        <v>84800.4174000001</v>
      </c>
    </row>
    <row r="111" customFormat="false" ht="12.8" hidden="false" customHeight="false" outlineLevel="0" collapsed="false">
      <c r="A111" s="0" t="s">
        <v>30</v>
      </c>
      <c r="B111" s="0" t="s">
        <v>26</v>
      </c>
      <c r="C111" s="0" t="s">
        <v>16</v>
      </c>
      <c r="D111" s="0" t="s">
        <v>32</v>
      </c>
      <c r="E111" s="1" t="n">
        <v>2022</v>
      </c>
      <c r="F111" s="1" t="n">
        <v>99</v>
      </c>
      <c r="G111" s="2" t="n">
        <v>236022.930000001</v>
      </c>
      <c r="H111" s="2" t="n">
        <v>146711.8521</v>
      </c>
      <c r="I111" s="2" t="n">
        <v>89311.0779000002</v>
      </c>
    </row>
    <row r="112" customFormat="false" ht="12.8" hidden="false" customHeight="false" outlineLevel="0" collapsed="false">
      <c r="A112" s="0" t="s">
        <v>30</v>
      </c>
      <c r="B112" s="0" t="s">
        <v>26</v>
      </c>
      <c r="C112" s="0" t="s">
        <v>16</v>
      </c>
      <c r="D112" s="0" t="s">
        <v>32</v>
      </c>
      <c r="E112" s="1" t="n">
        <v>2022</v>
      </c>
      <c r="F112" s="1" t="n">
        <v>87</v>
      </c>
      <c r="G112" s="2" t="n">
        <v>207414.09</v>
      </c>
      <c r="H112" s="2" t="n">
        <v>128928.5973</v>
      </c>
      <c r="I112" s="2" t="n">
        <v>78485.4927000001</v>
      </c>
    </row>
    <row r="113" customFormat="false" ht="12.8" hidden="false" customHeight="false" outlineLevel="0" collapsed="false">
      <c r="A113" s="0" t="s">
        <v>33</v>
      </c>
      <c r="B113" s="0" t="s">
        <v>31</v>
      </c>
      <c r="C113" s="0" t="s">
        <v>16</v>
      </c>
      <c r="D113" s="0" t="s">
        <v>32</v>
      </c>
      <c r="E113" s="1" t="n">
        <v>2021</v>
      </c>
      <c r="F113" s="1" t="n">
        <v>41</v>
      </c>
      <c r="G113" s="2" t="n">
        <v>49808.85</v>
      </c>
      <c r="H113" s="2" t="n">
        <v>30961.1828</v>
      </c>
      <c r="I113" s="2" t="n">
        <v>18847.6672</v>
      </c>
    </row>
    <row r="114" customFormat="false" ht="12.8" hidden="false" customHeight="false" outlineLevel="0" collapsed="false">
      <c r="A114" s="0" t="s">
        <v>33</v>
      </c>
      <c r="B114" s="0" t="s">
        <v>31</v>
      </c>
      <c r="C114" s="0" t="s">
        <v>16</v>
      </c>
      <c r="D114" s="0" t="s">
        <v>32</v>
      </c>
      <c r="E114" s="1" t="n">
        <v>2021</v>
      </c>
      <c r="F114" s="1" t="n">
        <v>47</v>
      </c>
      <c r="G114" s="2" t="n">
        <v>57097.95</v>
      </c>
      <c r="H114" s="2" t="n">
        <v>35492.0876</v>
      </c>
      <c r="I114" s="2" t="n">
        <v>21605.8624</v>
      </c>
    </row>
    <row r="115" customFormat="false" ht="12.8" hidden="false" customHeight="false" outlineLevel="0" collapsed="false">
      <c r="A115" s="0" t="s">
        <v>33</v>
      </c>
      <c r="B115" s="0" t="s">
        <v>31</v>
      </c>
      <c r="C115" s="0" t="s">
        <v>16</v>
      </c>
      <c r="D115" s="0" t="s">
        <v>32</v>
      </c>
      <c r="E115" s="1" t="n">
        <v>2021</v>
      </c>
      <c r="F115" s="1" t="n">
        <v>34</v>
      </c>
      <c r="G115" s="2" t="n">
        <v>41304.9</v>
      </c>
      <c r="H115" s="2" t="n">
        <v>25675.1272</v>
      </c>
      <c r="I115" s="2" t="n">
        <v>15629.7728</v>
      </c>
    </row>
    <row r="116" customFormat="false" ht="12.8" hidden="false" customHeight="false" outlineLevel="0" collapsed="false">
      <c r="A116" s="0" t="s">
        <v>33</v>
      </c>
      <c r="B116" s="0" t="s">
        <v>31</v>
      </c>
      <c r="C116" s="0" t="s">
        <v>16</v>
      </c>
      <c r="D116" s="0" t="s">
        <v>32</v>
      </c>
      <c r="E116" s="1" t="n">
        <v>2021</v>
      </c>
      <c r="F116" s="1" t="n">
        <v>37</v>
      </c>
      <c r="G116" s="2" t="n">
        <v>44949.45</v>
      </c>
      <c r="H116" s="2" t="n">
        <v>27940.5796</v>
      </c>
      <c r="I116" s="2" t="n">
        <v>17008.8704</v>
      </c>
    </row>
    <row r="117" customFormat="false" ht="12.8" hidden="false" customHeight="false" outlineLevel="0" collapsed="false">
      <c r="A117" s="0" t="s">
        <v>33</v>
      </c>
      <c r="B117" s="0" t="s">
        <v>31</v>
      </c>
      <c r="C117" s="0" t="s">
        <v>16</v>
      </c>
      <c r="D117" s="0" t="s">
        <v>32</v>
      </c>
      <c r="E117" s="1" t="n">
        <v>2022</v>
      </c>
      <c r="F117" s="1" t="n">
        <v>49</v>
      </c>
      <c r="G117" s="2" t="n">
        <v>59527.65</v>
      </c>
      <c r="H117" s="2" t="n">
        <v>37002.3892</v>
      </c>
      <c r="I117" s="2" t="n">
        <v>22525.2608</v>
      </c>
    </row>
    <row r="118" customFormat="false" ht="12.8" hidden="false" customHeight="false" outlineLevel="0" collapsed="false">
      <c r="A118" s="0" t="s">
        <v>33</v>
      </c>
      <c r="B118" s="0" t="s">
        <v>31</v>
      </c>
      <c r="C118" s="0" t="s">
        <v>16</v>
      </c>
      <c r="D118" s="0" t="s">
        <v>32</v>
      </c>
      <c r="E118" s="1" t="n">
        <v>2022</v>
      </c>
      <c r="F118" s="1" t="n">
        <v>49</v>
      </c>
      <c r="G118" s="2" t="n">
        <v>59527.65</v>
      </c>
      <c r="H118" s="2" t="n">
        <v>37002.3892</v>
      </c>
      <c r="I118" s="2" t="n">
        <v>22525.2608</v>
      </c>
    </row>
    <row r="119" customFormat="false" ht="12.8" hidden="false" customHeight="false" outlineLevel="0" collapsed="false">
      <c r="A119" s="0" t="s">
        <v>33</v>
      </c>
      <c r="B119" s="0" t="s">
        <v>31</v>
      </c>
      <c r="C119" s="0" t="s">
        <v>16</v>
      </c>
      <c r="D119" s="0" t="s">
        <v>32</v>
      </c>
      <c r="E119" s="1" t="n">
        <v>2022</v>
      </c>
      <c r="F119" s="1" t="n">
        <v>45</v>
      </c>
      <c r="G119" s="2" t="n">
        <v>54668.25</v>
      </c>
      <c r="H119" s="2" t="n">
        <v>33981.786</v>
      </c>
      <c r="I119" s="2" t="n">
        <v>20686.464</v>
      </c>
    </row>
    <row r="120" customFormat="false" ht="12.8" hidden="false" customHeight="false" outlineLevel="0" collapsed="false">
      <c r="A120" s="0" t="s">
        <v>33</v>
      </c>
      <c r="B120" s="0" t="s">
        <v>31</v>
      </c>
      <c r="C120" s="0" t="s">
        <v>16</v>
      </c>
      <c r="D120" s="0" t="s">
        <v>32</v>
      </c>
      <c r="E120" s="1" t="n">
        <v>2022</v>
      </c>
      <c r="F120" s="1" t="n">
        <v>59</v>
      </c>
      <c r="G120" s="2" t="n">
        <v>71676.15</v>
      </c>
      <c r="H120" s="2" t="n">
        <v>44553.8972</v>
      </c>
      <c r="I120" s="2" t="n">
        <v>27122.2528</v>
      </c>
    </row>
    <row r="121" customFormat="false" ht="12.8" hidden="false" customHeight="false" outlineLevel="0" collapsed="false">
      <c r="A121" s="0" t="s">
        <v>34</v>
      </c>
      <c r="B121" s="0" t="s">
        <v>31</v>
      </c>
      <c r="C121" s="0" t="s">
        <v>16</v>
      </c>
      <c r="D121" s="0" t="s">
        <v>32</v>
      </c>
      <c r="E121" s="1" t="n">
        <v>2021</v>
      </c>
      <c r="F121" s="1" t="n">
        <v>19</v>
      </c>
      <c r="G121" s="2" t="n">
        <v>14104.65</v>
      </c>
      <c r="H121" s="2" t="n">
        <v>8767.4512</v>
      </c>
      <c r="I121" s="2" t="n">
        <v>5337.1988</v>
      </c>
    </row>
    <row r="122" customFormat="false" ht="12.8" hidden="false" customHeight="false" outlineLevel="0" collapsed="false">
      <c r="A122" s="0" t="s">
        <v>34</v>
      </c>
      <c r="B122" s="0" t="s">
        <v>31</v>
      </c>
      <c r="C122" s="0" t="s">
        <v>16</v>
      </c>
      <c r="D122" s="0" t="s">
        <v>32</v>
      </c>
      <c r="E122" s="1" t="n">
        <v>2021</v>
      </c>
      <c r="F122" s="1" t="n">
        <v>21</v>
      </c>
      <c r="G122" s="2" t="n">
        <v>15589.35</v>
      </c>
      <c r="H122" s="2" t="n">
        <v>9690.3408</v>
      </c>
      <c r="I122" s="2" t="n">
        <v>5899.0092</v>
      </c>
    </row>
    <row r="123" customFormat="false" ht="12.8" hidden="false" customHeight="false" outlineLevel="0" collapsed="false">
      <c r="A123" s="0" t="s">
        <v>34</v>
      </c>
      <c r="B123" s="0" t="s">
        <v>31</v>
      </c>
      <c r="C123" s="0" t="s">
        <v>16</v>
      </c>
      <c r="D123" s="0" t="s">
        <v>32</v>
      </c>
      <c r="E123" s="1" t="n">
        <v>2021</v>
      </c>
      <c r="F123" s="1" t="n">
        <v>25</v>
      </c>
      <c r="G123" s="2" t="n">
        <v>18558.75</v>
      </c>
      <c r="H123" s="2" t="n">
        <v>11536.12</v>
      </c>
      <c r="I123" s="2" t="n">
        <v>7022.63</v>
      </c>
    </row>
    <row r="124" customFormat="false" ht="12.8" hidden="false" customHeight="false" outlineLevel="0" collapsed="false">
      <c r="A124" s="0" t="s">
        <v>34</v>
      </c>
      <c r="B124" s="0" t="s">
        <v>31</v>
      </c>
      <c r="C124" s="0" t="s">
        <v>16</v>
      </c>
      <c r="D124" s="0" t="s">
        <v>32</v>
      </c>
      <c r="E124" s="1" t="n">
        <v>2021</v>
      </c>
      <c r="F124" s="1" t="n">
        <v>26</v>
      </c>
      <c r="G124" s="2" t="n">
        <v>19301.1</v>
      </c>
      <c r="H124" s="2" t="n">
        <v>11997.5648</v>
      </c>
      <c r="I124" s="2" t="n">
        <v>7303.5352</v>
      </c>
    </row>
    <row r="125" customFormat="false" ht="12.8" hidden="false" customHeight="false" outlineLevel="0" collapsed="false">
      <c r="A125" s="0" t="s">
        <v>34</v>
      </c>
      <c r="B125" s="0" t="s">
        <v>31</v>
      </c>
      <c r="C125" s="0" t="s">
        <v>16</v>
      </c>
      <c r="D125" s="0" t="s">
        <v>32</v>
      </c>
      <c r="E125" s="1" t="n">
        <v>2021</v>
      </c>
      <c r="F125" s="1" t="n">
        <v>22</v>
      </c>
      <c r="G125" s="2" t="n">
        <v>16331.7</v>
      </c>
      <c r="H125" s="2" t="n">
        <v>10151.7856</v>
      </c>
      <c r="I125" s="2" t="n">
        <v>6179.9144</v>
      </c>
    </row>
    <row r="126" customFormat="false" ht="12.8" hidden="false" customHeight="false" outlineLevel="0" collapsed="false">
      <c r="A126" s="0" t="s">
        <v>34</v>
      </c>
      <c r="B126" s="0" t="s">
        <v>31</v>
      </c>
      <c r="C126" s="0" t="s">
        <v>16</v>
      </c>
      <c r="D126" s="0" t="s">
        <v>32</v>
      </c>
      <c r="E126" s="1" t="n">
        <v>2022</v>
      </c>
      <c r="F126" s="1" t="n">
        <v>42</v>
      </c>
      <c r="G126" s="2" t="n">
        <v>31178.7</v>
      </c>
      <c r="H126" s="2" t="n">
        <v>19380.6816</v>
      </c>
      <c r="I126" s="2" t="n">
        <v>11798.0184</v>
      </c>
    </row>
    <row r="127" customFormat="false" ht="12.8" hidden="false" customHeight="false" outlineLevel="0" collapsed="false">
      <c r="A127" s="0" t="s">
        <v>34</v>
      </c>
      <c r="B127" s="0" t="s">
        <v>31</v>
      </c>
      <c r="C127" s="0" t="s">
        <v>16</v>
      </c>
      <c r="D127" s="0" t="s">
        <v>32</v>
      </c>
      <c r="E127" s="1" t="n">
        <v>2022</v>
      </c>
      <c r="F127" s="1" t="n">
        <v>32</v>
      </c>
      <c r="G127" s="2" t="n">
        <v>23755.2</v>
      </c>
      <c r="H127" s="2" t="n">
        <v>14766.2336</v>
      </c>
      <c r="I127" s="2" t="n">
        <v>8988.9664</v>
      </c>
    </row>
    <row r="128" customFormat="false" ht="12.8" hidden="false" customHeight="false" outlineLevel="0" collapsed="false">
      <c r="A128" s="0" t="s">
        <v>34</v>
      </c>
      <c r="B128" s="0" t="s">
        <v>31</v>
      </c>
      <c r="C128" s="0" t="s">
        <v>16</v>
      </c>
      <c r="D128" s="0" t="s">
        <v>32</v>
      </c>
      <c r="E128" s="1" t="n">
        <v>2022</v>
      </c>
      <c r="F128" s="1" t="n">
        <v>35</v>
      </c>
      <c r="G128" s="2" t="n">
        <v>25982.25</v>
      </c>
      <c r="H128" s="2" t="n">
        <v>16150.568</v>
      </c>
      <c r="I128" s="2" t="n">
        <v>9831.682</v>
      </c>
    </row>
    <row r="129" customFormat="false" ht="12.8" hidden="false" customHeight="false" outlineLevel="0" collapsed="false">
      <c r="A129" s="0" t="s">
        <v>34</v>
      </c>
      <c r="B129" s="0" t="s">
        <v>31</v>
      </c>
      <c r="C129" s="0" t="s">
        <v>16</v>
      </c>
      <c r="D129" s="0" t="s">
        <v>32</v>
      </c>
      <c r="E129" s="1" t="n">
        <v>2022</v>
      </c>
      <c r="F129" s="1" t="n">
        <v>22</v>
      </c>
      <c r="G129" s="2" t="n">
        <v>16331.7</v>
      </c>
      <c r="H129" s="2" t="n">
        <v>10151.7856</v>
      </c>
      <c r="I129" s="2" t="n">
        <v>6179.9144</v>
      </c>
    </row>
    <row r="130" customFormat="false" ht="12.8" hidden="false" customHeight="false" outlineLevel="0" collapsed="false">
      <c r="A130" s="0" t="s">
        <v>34</v>
      </c>
      <c r="B130" s="0" t="s">
        <v>31</v>
      </c>
      <c r="C130" s="0" t="s">
        <v>16</v>
      </c>
      <c r="D130" s="0" t="s">
        <v>32</v>
      </c>
      <c r="E130" s="1" t="n">
        <v>2022</v>
      </c>
      <c r="F130" s="1" t="n">
        <v>30</v>
      </c>
      <c r="G130" s="2" t="n">
        <v>22270.5</v>
      </c>
      <c r="H130" s="2" t="n">
        <v>13843.344</v>
      </c>
      <c r="I130" s="2" t="n">
        <v>8427.156</v>
      </c>
    </row>
    <row r="131" customFormat="false" ht="12.8" hidden="false" customHeight="false" outlineLevel="0" collapsed="false">
      <c r="A131" s="0" t="s">
        <v>34</v>
      </c>
      <c r="B131" s="0" t="s">
        <v>26</v>
      </c>
      <c r="C131" s="0" t="s">
        <v>16</v>
      </c>
      <c r="D131" s="0" t="s">
        <v>32</v>
      </c>
      <c r="E131" s="1" t="n">
        <v>2021</v>
      </c>
      <c r="F131" s="1" t="n">
        <v>22</v>
      </c>
      <c r="G131" s="2" t="n">
        <v>16331.7</v>
      </c>
      <c r="H131" s="2" t="n">
        <v>10151.7856</v>
      </c>
      <c r="I131" s="2" t="n">
        <v>6179.9144</v>
      </c>
    </row>
    <row r="132" customFormat="false" ht="12.8" hidden="false" customHeight="false" outlineLevel="0" collapsed="false">
      <c r="A132" s="0" t="s">
        <v>34</v>
      </c>
      <c r="B132" s="0" t="s">
        <v>26</v>
      </c>
      <c r="C132" s="0" t="s">
        <v>16</v>
      </c>
      <c r="D132" s="0" t="s">
        <v>32</v>
      </c>
      <c r="E132" s="1" t="n">
        <v>2021</v>
      </c>
      <c r="F132" s="1" t="n">
        <v>23</v>
      </c>
      <c r="G132" s="2" t="n">
        <v>17074.05</v>
      </c>
      <c r="H132" s="2" t="n">
        <v>10613.2304</v>
      </c>
      <c r="I132" s="2" t="n">
        <v>6460.8196</v>
      </c>
    </row>
    <row r="133" customFormat="false" ht="12.8" hidden="false" customHeight="false" outlineLevel="0" collapsed="false">
      <c r="A133" s="0" t="s">
        <v>34</v>
      </c>
      <c r="B133" s="0" t="s">
        <v>26</v>
      </c>
      <c r="C133" s="0" t="s">
        <v>16</v>
      </c>
      <c r="D133" s="0" t="s">
        <v>32</v>
      </c>
      <c r="E133" s="1" t="n">
        <v>2021</v>
      </c>
      <c r="F133" s="1" t="n">
        <v>22</v>
      </c>
      <c r="G133" s="2" t="n">
        <v>16331.7</v>
      </c>
      <c r="H133" s="2" t="n">
        <v>10151.7856</v>
      </c>
      <c r="I133" s="2" t="n">
        <v>6179.9144</v>
      </c>
    </row>
    <row r="134" customFormat="false" ht="12.8" hidden="false" customHeight="false" outlineLevel="0" collapsed="false">
      <c r="A134" s="0" t="s">
        <v>34</v>
      </c>
      <c r="B134" s="0" t="s">
        <v>26</v>
      </c>
      <c r="C134" s="0" t="s">
        <v>16</v>
      </c>
      <c r="D134" s="0" t="s">
        <v>32</v>
      </c>
      <c r="E134" s="1" t="n">
        <v>2021</v>
      </c>
      <c r="F134" s="1" t="n">
        <v>18</v>
      </c>
      <c r="G134" s="2" t="n">
        <v>13362.3</v>
      </c>
      <c r="H134" s="2" t="n">
        <v>8306.0064</v>
      </c>
      <c r="I134" s="2" t="n">
        <v>5056.2936</v>
      </c>
    </row>
    <row r="135" customFormat="false" ht="12.8" hidden="false" customHeight="false" outlineLevel="0" collapsed="false">
      <c r="A135" s="0" t="s">
        <v>34</v>
      </c>
      <c r="B135" s="0" t="s">
        <v>26</v>
      </c>
      <c r="C135" s="0" t="s">
        <v>16</v>
      </c>
      <c r="D135" s="0" t="s">
        <v>32</v>
      </c>
      <c r="E135" s="1" t="n">
        <v>2021</v>
      </c>
      <c r="F135" s="1" t="n">
        <v>16</v>
      </c>
      <c r="G135" s="2" t="n">
        <v>11877.6</v>
      </c>
      <c r="H135" s="2" t="n">
        <v>7383.1168</v>
      </c>
      <c r="I135" s="2" t="n">
        <v>4494.4832</v>
      </c>
    </row>
    <row r="136" customFormat="false" ht="12.8" hidden="false" customHeight="false" outlineLevel="0" collapsed="false">
      <c r="A136" s="0" t="s">
        <v>34</v>
      </c>
      <c r="B136" s="0" t="s">
        <v>26</v>
      </c>
      <c r="C136" s="0" t="s">
        <v>16</v>
      </c>
      <c r="D136" s="0" t="s">
        <v>32</v>
      </c>
      <c r="E136" s="1" t="n">
        <v>2022</v>
      </c>
      <c r="F136" s="1" t="n">
        <v>30</v>
      </c>
      <c r="G136" s="2" t="n">
        <v>22270.5</v>
      </c>
      <c r="H136" s="2" t="n">
        <v>13843.344</v>
      </c>
      <c r="I136" s="2" t="n">
        <v>8427.156</v>
      </c>
    </row>
    <row r="137" customFormat="false" ht="12.8" hidden="false" customHeight="false" outlineLevel="0" collapsed="false">
      <c r="A137" s="0" t="s">
        <v>34</v>
      </c>
      <c r="B137" s="0" t="s">
        <v>26</v>
      </c>
      <c r="C137" s="0" t="s">
        <v>16</v>
      </c>
      <c r="D137" s="0" t="s">
        <v>32</v>
      </c>
      <c r="E137" s="1" t="n">
        <v>2022</v>
      </c>
      <c r="F137" s="1" t="n">
        <v>33</v>
      </c>
      <c r="G137" s="2" t="n">
        <v>24497.55</v>
      </c>
      <c r="H137" s="2" t="n">
        <v>15227.6784</v>
      </c>
      <c r="I137" s="2" t="n">
        <v>9269.8716</v>
      </c>
    </row>
    <row r="138" customFormat="false" ht="12.8" hidden="false" customHeight="false" outlineLevel="0" collapsed="false">
      <c r="A138" s="0" t="s">
        <v>34</v>
      </c>
      <c r="B138" s="0" t="s">
        <v>26</v>
      </c>
      <c r="C138" s="0" t="s">
        <v>16</v>
      </c>
      <c r="D138" s="0" t="s">
        <v>32</v>
      </c>
      <c r="E138" s="1" t="n">
        <v>2022</v>
      </c>
      <c r="F138" s="1" t="n">
        <v>37</v>
      </c>
      <c r="G138" s="2" t="n">
        <v>27466.95</v>
      </c>
      <c r="H138" s="2" t="n">
        <v>17073.4576</v>
      </c>
      <c r="I138" s="2" t="n">
        <v>10393.4924</v>
      </c>
    </row>
    <row r="139" customFormat="false" ht="12.8" hidden="false" customHeight="false" outlineLevel="0" collapsed="false">
      <c r="A139" s="0" t="s">
        <v>34</v>
      </c>
      <c r="B139" s="0" t="s">
        <v>26</v>
      </c>
      <c r="C139" s="0" t="s">
        <v>16</v>
      </c>
      <c r="D139" s="0" t="s">
        <v>32</v>
      </c>
      <c r="E139" s="1" t="n">
        <v>2022</v>
      </c>
      <c r="F139" s="1" t="n">
        <v>30</v>
      </c>
      <c r="G139" s="2" t="n">
        <v>22270.5</v>
      </c>
      <c r="H139" s="2" t="n">
        <v>13843.344</v>
      </c>
      <c r="I139" s="2" t="n">
        <v>8427.156</v>
      </c>
    </row>
    <row r="140" customFormat="false" ht="12.8" hidden="false" customHeight="false" outlineLevel="0" collapsed="false">
      <c r="A140" s="0" t="s">
        <v>34</v>
      </c>
      <c r="B140" s="0" t="s">
        <v>26</v>
      </c>
      <c r="C140" s="0" t="s">
        <v>16</v>
      </c>
      <c r="D140" s="0" t="s">
        <v>32</v>
      </c>
      <c r="E140" s="1" t="n">
        <v>2022</v>
      </c>
      <c r="F140" s="1" t="n">
        <v>25</v>
      </c>
      <c r="G140" s="2" t="n">
        <v>18558.75</v>
      </c>
      <c r="H140" s="2" t="n">
        <v>11536.12</v>
      </c>
      <c r="I140" s="2" t="n">
        <v>7022.63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35"/>
    <col collapsed="false" customWidth="true" hidden="false" outlineLevel="0" max="2" min="2" style="0" width="11.45"/>
    <col collapsed="false" customWidth="true" hidden="false" outlineLevel="0" max="4" min="3" style="0" width="10.89"/>
    <col collapsed="false" customWidth="true" hidden="false" outlineLevel="0" max="5" min="5" style="2" width="11.86"/>
    <col collapsed="false" customWidth="true" hidden="false" outlineLevel="0" max="6" min="6" style="2" width="11.03"/>
  </cols>
  <sheetData>
    <row r="1" customFormat="false" ht="12.8" hidden="false" customHeight="false" outlineLevel="0" collapsed="false">
      <c r="A1" s="3" t="s">
        <v>35</v>
      </c>
      <c r="B1" s="4"/>
      <c r="C1" s="5" t="s">
        <v>4</v>
      </c>
      <c r="D1" s="6"/>
      <c r="E1" s="7"/>
    </row>
    <row r="2" customFormat="false" ht="12.8" hidden="false" customHeight="false" outlineLevel="0" collapsed="false">
      <c r="A2" s="8" t="s">
        <v>0</v>
      </c>
      <c r="B2" s="9" t="s">
        <v>1</v>
      </c>
      <c r="C2" s="10" t="n">
        <v>2021</v>
      </c>
      <c r="D2" s="11" t="n">
        <v>2022</v>
      </c>
      <c r="E2" s="12" t="s">
        <v>36</v>
      </c>
      <c r="F2" s="13" t="s">
        <v>37</v>
      </c>
    </row>
    <row r="3" customFormat="false" ht="12.8" hidden="false" customHeight="false" outlineLevel="0" collapsed="false">
      <c r="A3" s="14" t="s">
        <v>9</v>
      </c>
      <c r="B3" s="15" t="s">
        <v>10</v>
      </c>
      <c r="C3" s="16" t="n">
        <v>11745.012</v>
      </c>
      <c r="D3" s="17" t="n">
        <v>11545.944</v>
      </c>
      <c r="E3" s="18" t="n">
        <v>23290.956</v>
      </c>
      <c r="F3" s="19" t="n">
        <f aca="false">D3-C3</f>
        <v>-199.067999999999</v>
      </c>
    </row>
    <row r="4" customFormat="false" ht="12.8" hidden="false" customHeight="false" outlineLevel="0" collapsed="false">
      <c r="A4" s="14" t="s">
        <v>12</v>
      </c>
      <c r="B4" s="15" t="s">
        <v>10</v>
      </c>
      <c r="C4" s="20" t="n">
        <v>10141.2</v>
      </c>
      <c r="D4" s="20" t="n">
        <v>12545.04</v>
      </c>
      <c r="E4" s="18" t="n">
        <v>22686.24</v>
      </c>
      <c r="F4" s="21" t="n">
        <f aca="false">D4-C4</f>
        <v>2403.84000000003</v>
      </c>
    </row>
    <row r="5" customFormat="false" ht="12.8" hidden="false" customHeight="false" outlineLevel="0" collapsed="false">
      <c r="A5" s="22" t="s">
        <v>14</v>
      </c>
      <c r="B5" s="23" t="s">
        <v>15</v>
      </c>
      <c r="C5" s="24" t="n">
        <v>798965.105400004</v>
      </c>
      <c r="D5" s="25" t="n">
        <v>682940.656800002</v>
      </c>
      <c r="E5" s="26" t="n">
        <v>1481905.76220001</v>
      </c>
      <c r="F5" s="21" t="n">
        <f aca="false">D5-C5</f>
        <v>-116024.448600001</v>
      </c>
    </row>
    <row r="6" customFormat="false" ht="12.8" hidden="false" customHeight="false" outlineLevel="0" collapsed="false">
      <c r="A6" s="27"/>
      <c r="B6" s="28" t="s">
        <v>18</v>
      </c>
      <c r="C6" s="29" t="n">
        <v>771433.033299999</v>
      </c>
      <c r="D6" s="30" t="n">
        <v>683705.172899999</v>
      </c>
      <c r="E6" s="31" t="n">
        <v>1455138.2062</v>
      </c>
      <c r="F6" s="21" t="n">
        <f aca="false">D6-C6</f>
        <v>-87727.8603999999</v>
      </c>
    </row>
    <row r="7" customFormat="false" ht="12.8" hidden="false" customHeight="false" outlineLevel="0" collapsed="false">
      <c r="A7" s="14" t="s">
        <v>19</v>
      </c>
      <c r="B7" s="15" t="s">
        <v>18</v>
      </c>
      <c r="C7" s="20" t="n">
        <v>70991.4548</v>
      </c>
      <c r="D7" s="20" t="n">
        <v>115404.828</v>
      </c>
      <c r="E7" s="18" t="n">
        <v>186396.2828</v>
      </c>
      <c r="F7" s="21" t="n">
        <f aca="false">D7-C7</f>
        <v>44413.3731999998</v>
      </c>
    </row>
    <row r="8" customFormat="false" ht="12.8" hidden="false" customHeight="false" outlineLevel="0" collapsed="false">
      <c r="A8" s="22" t="s">
        <v>21</v>
      </c>
      <c r="B8" s="23" t="s">
        <v>15</v>
      </c>
      <c r="C8" s="24" t="n">
        <v>24295.6197</v>
      </c>
      <c r="D8" s="25" t="n">
        <v>36566.1347</v>
      </c>
      <c r="E8" s="26" t="n">
        <v>60861.7544</v>
      </c>
      <c r="F8" s="21" t="n">
        <f aca="false">D8-C8</f>
        <v>12270.515</v>
      </c>
    </row>
    <row r="9" customFormat="false" ht="12.8" hidden="false" customHeight="false" outlineLevel="0" collapsed="false">
      <c r="A9" s="27"/>
      <c r="B9" s="28" t="s">
        <v>18</v>
      </c>
      <c r="C9" s="29" t="n">
        <v>23879.8053</v>
      </c>
      <c r="D9" s="30" t="n">
        <v>33893.9172</v>
      </c>
      <c r="E9" s="31" t="n">
        <v>57773.7225</v>
      </c>
      <c r="F9" s="21" t="n">
        <f aca="false">D9-C9</f>
        <v>10014.1119</v>
      </c>
    </row>
    <row r="10" customFormat="false" ht="12.8" hidden="false" customHeight="false" outlineLevel="0" collapsed="false">
      <c r="A10" s="22" t="s">
        <v>22</v>
      </c>
      <c r="B10" s="23" t="s">
        <v>15</v>
      </c>
      <c r="C10" s="32" t="n">
        <v>492422.616400001</v>
      </c>
      <c r="D10" s="32" t="n">
        <v>201445.6158</v>
      </c>
      <c r="E10" s="26" t="n">
        <v>693868.232200001</v>
      </c>
      <c r="F10" s="21" t="n">
        <f aca="false">D10-C10</f>
        <v>-290977.0006</v>
      </c>
    </row>
    <row r="11" customFormat="false" ht="12.8" hidden="false" customHeight="false" outlineLevel="0" collapsed="false">
      <c r="A11" s="27"/>
      <c r="B11" s="28" t="s">
        <v>24</v>
      </c>
      <c r="C11" s="33" t="n">
        <v>290100.2662</v>
      </c>
      <c r="D11" s="33" t="n">
        <v>54235.3581</v>
      </c>
      <c r="E11" s="31" t="n">
        <v>344335.6243</v>
      </c>
      <c r="F11" s="21" t="n">
        <f aca="false">D11-C11</f>
        <v>-235864.9081</v>
      </c>
    </row>
    <row r="12" customFormat="false" ht="12.8" hidden="false" customHeight="false" outlineLevel="0" collapsed="false">
      <c r="A12" s="14" t="s">
        <v>25</v>
      </c>
      <c r="B12" s="15" t="s">
        <v>26</v>
      </c>
      <c r="C12" s="16" t="n">
        <v>192347.28</v>
      </c>
      <c r="D12" s="17" t="n">
        <v>371088</v>
      </c>
      <c r="E12" s="18" t="n">
        <v>563435.28</v>
      </c>
      <c r="F12" s="21" t="n">
        <f aca="false">D12-C12</f>
        <v>178740.72</v>
      </c>
    </row>
    <row r="13" customFormat="false" ht="12.8" hidden="false" customHeight="false" outlineLevel="0" collapsed="false">
      <c r="A13" s="14" t="s">
        <v>27</v>
      </c>
      <c r="B13" s="15" t="s">
        <v>26</v>
      </c>
      <c r="C13" s="20" t="n">
        <v>242005.2279</v>
      </c>
      <c r="D13" s="20" t="n">
        <v>237267.7683</v>
      </c>
      <c r="E13" s="18" t="n">
        <v>479272.9962</v>
      </c>
      <c r="F13" s="21" t="n">
        <f aca="false">D13-C13</f>
        <v>-4737.45960000003</v>
      </c>
    </row>
    <row r="14" customFormat="false" ht="12.8" hidden="false" customHeight="false" outlineLevel="0" collapsed="false">
      <c r="A14" s="22" t="s">
        <v>28</v>
      </c>
      <c r="B14" s="23" t="s">
        <v>15</v>
      </c>
      <c r="C14" s="24" t="n">
        <v>46610.1597</v>
      </c>
      <c r="D14" s="34"/>
      <c r="E14" s="26" t="n">
        <v>46610.1597</v>
      </c>
      <c r="F14" s="21" t="n">
        <f aca="false">D14-C14</f>
        <v>-46610.1597</v>
      </c>
    </row>
    <row r="15" customFormat="false" ht="12.8" hidden="false" customHeight="false" outlineLevel="0" collapsed="false">
      <c r="A15" s="27"/>
      <c r="B15" s="28" t="s">
        <v>24</v>
      </c>
      <c r="C15" s="29" t="n">
        <v>48611.823</v>
      </c>
      <c r="D15" s="35"/>
      <c r="E15" s="31" t="n">
        <v>48611.823</v>
      </c>
      <c r="F15" s="21" t="n">
        <f aca="false">D15-C15</f>
        <v>-48611.823</v>
      </c>
    </row>
    <row r="16" customFormat="false" ht="12.8" hidden="false" customHeight="false" outlineLevel="0" collapsed="false">
      <c r="A16" s="14" t="s">
        <v>29</v>
      </c>
      <c r="B16" s="15" t="s">
        <v>15</v>
      </c>
      <c r="C16" s="20" t="n">
        <v>117018.8784</v>
      </c>
      <c r="D16" s="20" t="n">
        <v>162177.1704</v>
      </c>
      <c r="E16" s="18" t="n">
        <v>279196.0488</v>
      </c>
      <c r="F16" s="21" t="n">
        <f aca="false">D16-C16</f>
        <v>45158.2920000002</v>
      </c>
    </row>
    <row r="17" customFormat="false" ht="12.8" hidden="false" customHeight="false" outlineLevel="0" collapsed="false">
      <c r="A17" s="22" t="s">
        <v>30</v>
      </c>
      <c r="B17" s="23" t="s">
        <v>31</v>
      </c>
      <c r="C17" s="24" t="n">
        <v>202077.5904</v>
      </c>
      <c r="D17" s="25" t="n">
        <v>364461.368400001</v>
      </c>
      <c r="E17" s="26" t="n">
        <v>566538.958800001</v>
      </c>
      <c r="F17" s="21" t="n">
        <f aca="false">D17-C17</f>
        <v>162383.778</v>
      </c>
    </row>
    <row r="18" customFormat="false" ht="12.8" hidden="false" customHeight="false" outlineLevel="0" collapsed="false">
      <c r="A18" s="27"/>
      <c r="B18" s="28" t="s">
        <v>26</v>
      </c>
      <c r="C18" s="29" t="n">
        <v>193056.2694</v>
      </c>
      <c r="D18" s="30" t="n">
        <v>352733.651100001</v>
      </c>
      <c r="E18" s="31" t="n">
        <v>545789.920500001</v>
      </c>
      <c r="F18" s="21" t="n">
        <f aca="false">D18-C18</f>
        <v>159677.3817</v>
      </c>
    </row>
    <row r="19" customFormat="false" ht="12.8" hidden="false" customHeight="false" outlineLevel="0" collapsed="false">
      <c r="A19" s="14" t="s">
        <v>33</v>
      </c>
      <c r="B19" s="15" t="s">
        <v>31</v>
      </c>
      <c r="C19" s="20" t="n">
        <v>73092.1727999999</v>
      </c>
      <c r="D19" s="20" t="n">
        <v>92859.2383999999</v>
      </c>
      <c r="E19" s="18" t="n">
        <v>165951.4112</v>
      </c>
      <c r="F19" s="21" t="n">
        <f aca="false">D19-C19</f>
        <v>19767.0656</v>
      </c>
    </row>
    <row r="20" customFormat="false" ht="12.8" hidden="false" customHeight="false" outlineLevel="0" collapsed="false">
      <c r="A20" s="22" t="s">
        <v>34</v>
      </c>
      <c r="B20" s="23" t="s">
        <v>31</v>
      </c>
      <c r="C20" s="24" t="n">
        <v>31742.2876</v>
      </c>
      <c r="D20" s="25" t="n">
        <v>45225.7372</v>
      </c>
      <c r="E20" s="26" t="n">
        <v>76968.0248</v>
      </c>
      <c r="F20" s="21" t="n">
        <f aca="false">D20-C20</f>
        <v>13483.4496</v>
      </c>
    </row>
    <row r="21" customFormat="false" ht="12.8" hidden="false" customHeight="false" outlineLevel="0" collapsed="false">
      <c r="A21" s="27"/>
      <c r="B21" s="28" t="s">
        <v>26</v>
      </c>
      <c r="C21" s="29" t="n">
        <v>28371.4252</v>
      </c>
      <c r="D21" s="30" t="n">
        <v>43540.306</v>
      </c>
      <c r="E21" s="31" t="n">
        <v>71911.7312</v>
      </c>
      <c r="F21" s="21" t="n">
        <f aca="false">D21-C21</f>
        <v>15168.8808</v>
      </c>
    </row>
    <row r="22" customFormat="false" ht="12.8" hidden="false" customHeight="false" outlineLevel="0" collapsed="false">
      <c r="A22" s="36" t="s">
        <v>36</v>
      </c>
      <c r="B22" s="37"/>
      <c r="C22" s="38" t="n">
        <v>3668907.2275</v>
      </c>
      <c r="D22" s="39" t="n">
        <v>3501635.9073</v>
      </c>
      <c r="E22" s="40" t="n">
        <v>7170543.13480001</v>
      </c>
      <c r="F22" s="41" t="n">
        <f aca="false">D22-C22</f>
        <v>-167271.320200002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35"/>
    <col collapsed="false" customWidth="true" hidden="false" outlineLevel="0" max="6" min="6" style="0" width="11.03"/>
  </cols>
  <sheetData>
    <row r="1" customFormat="false" ht="12.8" hidden="false" customHeight="false" outlineLevel="0" collapsed="false">
      <c r="A1" s="9" t="s">
        <v>0</v>
      </c>
      <c r="B1" s="9" t="s">
        <v>1</v>
      </c>
      <c r="C1" s="42" t="n">
        <v>2021</v>
      </c>
      <c r="D1" s="42" t="n">
        <v>2022</v>
      </c>
      <c r="E1" s="43" t="s">
        <v>36</v>
      </c>
      <c r="F1" s="13" t="s">
        <v>37</v>
      </c>
    </row>
    <row r="2" customFormat="false" ht="12.8" hidden="false" customHeight="false" outlineLevel="0" collapsed="false">
      <c r="A2" s="44" t="s">
        <v>22</v>
      </c>
      <c r="B2" s="44" t="s">
        <v>15</v>
      </c>
      <c r="C2" s="45" t="n">
        <v>492422.616400001</v>
      </c>
      <c r="D2" s="45" t="n">
        <v>201445.6158</v>
      </c>
      <c r="E2" s="46" t="n">
        <v>693868.232200001</v>
      </c>
      <c r="F2" s="21" t="n">
        <f aca="false">D2-C2</f>
        <v>-290977.0006</v>
      </c>
    </row>
    <row r="3" customFormat="false" ht="12.8" hidden="false" customHeight="false" outlineLevel="0" collapsed="false">
      <c r="A3" s="44" t="s">
        <v>22</v>
      </c>
      <c r="B3" s="44" t="s">
        <v>24</v>
      </c>
      <c r="C3" s="45" t="n">
        <v>290100.2662</v>
      </c>
      <c r="D3" s="45" t="n">
        <v>54235.3581</v>
      </c>
      <c r="E3" s="46" t="n">
        <v>344335.6243</v>
      </c>
      <c r="F3" s="21" t="n">
        <f aca="false">D3-C3</f>
        <v>-235864.9081</v>
      </c>
    </row>
    <row r="4" customFormat="false" ht="12.8" hidden="false" customHeight="false" outlineLevel="0" collapsed="false">
      <c r="A4" s="44" t="s">
        <v>14</v>
      </c>
      <c r="B4" s="44" t="s">
        <v>15</v>
      </c>
      <c r="C4" s="45" t="n">
        <v>798965.105400004</v>
      </c>
      <c r="D4" s="45" t="n">
        <v>682940.656800002</v>
      </c>
      <c r="E4" s="46" t="n">
        <v>1481905.76220001</v>
      </c>
      <c r="F4" s="21" t="n">
        <f aca="false">D4-C4</f>
        <v>-116024.448600001</v>
      </c>
    </row>
    <row r="5" customFormat="false" ht="12.8" hidden="false" customHeight="false" outlineLevel="0" collapsed="false">
      <c r="A5" s="44" t="s">
        <v>14</v>
      </c>
      <c r="B5" s="44" t="s">
        <v>18</v>
      </c>
      <c r="C5" s="45" t="n">
        <v>771433.033299999</v>
      </c>
      <c r="D5" s="45" t="n">
        <v>683705.172899999</v>
      </c>
      <c r="E5" s="46" t="n">
        <v>1455138.2062</v>
      </c>
      <c r="F5" s="21" t="n">
        <f aca="false">D5-C5</f>
        <v>-87727.8603999999</v>
      </c>
    </row>
    <row r="6" customFormat="false" ht="12.8" hidden="false" customHeight="false" outlineLevel="0" collapsed="false">
      <c r="A6" s="44" t="s">
        <v>28</v>
      </c>
      <c r="B6" s="44" t="s">
        <v>24</v>
      </c>
      <c r="C6" s="45" t="n">
        <v>48611.823</v>
      </c>
      <c r="D6" s="47"/>
      <c r="E6" s="46" t="n">
        <v>48611.823</v>
      </c>
      <c r="F6" s="21" t="n">
        <f aca="false">D6-C6</f>
        <v>-48611.823</v>
      </c>
    </row>
    <row r="7" customFormat="false" ht="12.8" hidden="false" customHeight="false" outlineLevel="0" collapsed="false">
      <c r="A7" s="44" t="s">
        <v>28</v>
      </c>
      <c r="B7" s="44" t="s">
        <v>15</v>
      </c>
      <c r="C7" s="45" t="n">
        <v>46610.1597</v>
      </c>
      <c r="D7" s="47"/>
      <c r="E7" s="46" t="n">
        <v>46610.1597</v>
      </c>
      <c r="F7" s="21" t="n">
        <f aca="false">D7-C7</f>
        <v>-46610.1597</v>
      </c>
    </row>
    <row r="8" customFormat="false" ht="12.8" hidden="false" customHeight="false" outlineLevel="0" collapsed="false">
      <c r="A8" s="44" t="s">
        <v>27</v>
      </c>
      <c r="B8" s="44" t="s">
        <v>26</v>
      </c>
      <c r="C8" s="45" t="n">
        <v>242005.2279</v>
      </c>
      <c r="D8" s="45" t="n">
        <v>237267.7683</v>
      </c>
      <c r="E8" s="46" t="n">
        <v>479272.9962</v>
      </c>
      <c r="F8" s="21" t="n">
        <f aca="false">D8-C8</f>
        <v>-4737.45960000003</v>
      </c>
    </row>
    <row r="9" customFormat="false" ht="12.8" hidden="false" customHeight="false" outlineLevel="0" collapsed="false">
      <c r="A9" s="44" t="s">
        <v>9</v>
      </c>
      <c r="B9" s="44" t="s">
        <v>10</v>
      </c>
      <c r="C9" s="45" t="n">
        <v>11745.012</v>
      </c>
      <c r="D9" s="45" t="n">
        <v>11545.944</v>
      </c>
      <c r="E9" s="46" t="n">
        <v>23290.956</v>
      </c>
      <c r="F9" s="21" t="n">
        <f aca="false">D9-C9</f>
        <v>-199.067999999999</v>
      </c>
    </row>
    <row r="10" customFormat="false" ht="12.8" hidden="false" customHeight="false" outlineLevel="0" collapsed="false">
      <c r="A10" s="44" t="s">
        <v>12</v>
      </c>
      <c r="B10" s="44" t="s">
        <v>10</v>
      </c>
      <c r="C10" s="45" t="n">
        <v>10141.2</v>
      </c>
      <c r="D10" s="45" t="n">
        <v>12545.04</v>
      </c>
      <c r="E10" s="46" t="n">
        <v>22686.24</v>
      </c>
      <c r="F10" s="21" t="n">
        <f aca="false">D10-C10</f>
        <v>2403.84000000003</v>
      </c>
    </row>
    <row r="11" customFormat="false" ht="12.8" hidden="false" customHeight="false" outlineLevel="0" collapsed="false">
      <c r="A11" s="44" t="s">
        <v>21</v>
      </c>
      <c r="B11" s="44" t="s">
        <v>18</v>
      </c>
      <c r="C11" s="45" t="n">
        <v>23879.8053</v>
      </c>
      <c r="D11" s="45" t="n">
        <v>33893.9172</v>
      </c>
      <c r="E11" s="46" t="n">
        <v>57773.7225</v>
      </c>
      <c r="F11" s="21" t="n">
        <f aca="false">D11-C11</f>
        <v>10014.1119</v>
      </c>
    </row>
    <row r="12" customFormat="false" ht="12.8" hidden="false" customHeight="false" outlineLevel="0" collapsed="false">
      <c r="A12" s="44" t="s">
        <v>21</v>
      </c>
      <c r="B12" s="44" t="s">
        <v>15</v>
      </c>
      <c r="C12" s="45" t="n">
        <v>24295.6197</v>
      </c>
      <c r="D12" s="45" t="n">
        <v>36566.1347</v>
      </c>
      <c r="E12" s="46" t="n">
        <v>60861.7544</v>
      </c>
      <c r="F12" s="21" t="n">
        <f aca="false">D12-C12</f>
        <v>12270.515</v>
      </c>
    </row>
    <row r="13" customFormat="false" ht="12.8" hidden="false" customHeight="false" outlineLevel="0" collapsed="false">
      <c r="A13" s="44" t="s">
        <v>34</v>
      </c>
      <c r="B13" s="44" t="s">
        <v>31</v>
      </c>
      <c r="C13" s="45" t="n">
        <v>31742.2876</v>
      </c>
      <c r="D13" s="45" t="n">
        <v>45225.7372</v>
      </c>
      <c r="E13" s="46" t="n">
        <v>76968.0248</v>
      </c>
      <c r="F13" s="21" t="n">
        <f aca="false">D13-C13</f>
        <v>13483.4496</v>
      </c>
    </row>
    <row r="14" customFormat="false" ht="12.8" hidden="false" customHeight="false" outlineLevel="0" collapsed="false">
      <c r="A14" s="44" t="s">
        <v>34</v>
      </c>
      <c r="B14" s="44" t="s">
        <v>26</v>
      </c>
      <c r="C14" s="45" t="n">
        <v>28371.4252</v>
      </c>
      <c r="D14" s="45" t="n">
        <v>43540.306</v>
      </c>
      <c r="E14" s="46" t="n">
        <v>71911.7312</v>
      </c>
      <c r="F14" s="21" t="n">
        <f aca="false">D14-C14</f>
        <v>15168.8808</v>
      </c>
    </row>
    <row r="15" customFormat="false" ht="12.8" hidden="false" customHeight="false" outlineLevel="0" collapsed="false">
      <c r="A15" s="44" t="s">
        <v>33</v>
      </c>
      <c r="B15" s="44" t="s">
        <v>31</v>
      </c>
      <c r="C15" s="45" t="n">
        <v>73092.1727999999</v>
      </c>
      <c r="D15" s="45" t="n">
        <v>92859.2383999999</v>
      </c>
      <c r="E15" s="46" t="n">
        <v>165951.4112</v>
      </c>
      <c r="F15" s="21" t="n">
        <f aca="false">D15-C15</f>
        <v>19767.0656</v>
      </c>
    </row>
    <row r="16" customFormat="false" ht="12.8" hidden="false" customHeight="false" outlineLevel="0" collapsed="false">
      <c r="A16" s="44" t="s">
        <v>19</v>
      </c>
      <c r="B16" s="44" t="s">
        <v>18</v>
      </c>
      <c r="C16" s="45" t="n">
        <v>70991.4548</v>
      </c>
      <c r="D16" s="45" t="n">
        <v>115404.828</v>
      </c>
      <c r="E16" s="46" t="n">
        <v>186396.2828</v>
      </c>
      <c r="F16" s="21" t="n">
        <f aca="false">D16-C16</f>
        <v>44413.3731999998</v>
      </c>
    </row>
    <row r="17" customFormat="false" ht="12.8" hidden="false" customHeight="false" outlineLevel="0" collapsed="false">
      <c r="A17" s="44" t="s">
        <v>29</v>
      </c>
      <c r="B17" s="44" t="s">
        <v>15</v>
      </c>
      <c r="C17" s="45" t="n">
        <v>117018.8784</v>
      </c>
      <c r="D17" s="45" t="n">
        <v>162177.1704</v>
      </c>
      <c r="E17" s="46" t="n">
        <v>279196.0488</v>
      </c>
      <c r="F17" s="21" t="n">
        <f aca="false">D17-C17</f>
        <v>45158.2920000002</v>
      </c>
    </row>
    <row r="18" customFormat="false" ht="12.8" hidden="false" customHeight="false" outlineLevel="0" collapsed="false">
      <c r="A18" s="44" t="s">
        <v>30</v>
      </c>
      <c r="B18" s="44" t="s">
        <v>26</v>
      </c>
      <c r="C18" s="45" t="n">
        <v>193056.2694</v>
      </c>
      <c r="D18" s="45" t="n">
        <v>352733.651100001</v>
      </c>
      <c r="E18" s="46" t="n">
        <v>545789.920500001</v>
      </c>
      <c r="F18" s="21" t="n">
        <f aca="false">D18-C18</f>
        <v>159677.3817</v>
      </c>
    </row>
    <row r="19" customFormat="false" ht="12.8" hidden="false" customHeight="false" outlineLevel="0" collapsed="false">
      <c r="A19" s="44" t="s">
        <v>30</v>
      </c>
      <c r="B19" s="44" t="s">
        <v>31</v>
      </c>
      <c r="C19" s="45" t="n">
        <v>202077.5904</v>
      </c>
      <c r="D19" s="45" t="n">
        <v>364461.368400001</v>
      </c>
      <c r="E19" s="46" t="n">
        <v>566538.958800001</v>
      </c>
      <c r="F19" s="21" t="n">
        <f aca="false">D19-C19</f>
        <v>162383.778</v>
      </c>
    </row>
    <row r="20" customFormat="false" ht="12.8" hidden="false" customHeight="false" outlineLevel="0" collapsed="false">
      <c r="A20" s="44" t="s">
        <v>25</v>
      </c>
      <c r="B20" s="44" t="s">
        <v>26</v>
      </c>
      <c r="C20" s="45" t="n">
        <v>192347.28</v>
      </c>
      <c r="D20" s="45" t="n">
        <v>371088</v>
      </c>
      <c r="E20" s="46" t="n">
        <v>563435.28</v>
      </c>
      <c r="F20" s="21" t="n">
        <f aca="false">D20-C20</f>
        <v>178740.72</v>
      </c>
    </row>
    <row r="21" customFormat="false" ht="12.8" hidden="false" customHeight="false" outlineLevel="0" collapsed="false">
      <c r="A21" s="48" t="s">
        <v>36</v>
      </c>
      <c r="B21" s="49"/>
      <c r="C21" s="50" t="n">
        <v>3668907.2275</v>
      </c>
      <c r="D21" s="50" t="n">
        <v>3501635.9073</v>
      </c>
      <c r="E21" s="50" t="n">
        <v>7170543.13480001</v>
      </c>
      <c r="F21" s="13" t="n">
        <f aca="false">D21-C21</f>
        <v>-167271.320200002</v>
      </c>
    </row>
  </sheetData>
  <conditionalFormatting sqref="F1:F20">
    <cfRule type="cellIs" priority="2" operator="lessThan" aboveAverage="0" equalAverage="0" bottom="0" percent="0" rank="0" text="" dxfId="6">
      <formula>-50000</formula>
    </cfRule>
    <cfRule type="cellIs" priority="3" operator="between" aboveAverage="0" equalAverage="0" bottom="0" percent="0" rank="0" text="" dxfId="7">
      <formula>-50000</formula>
      <formula>-10000</formula>
    </cfRule>
    <cfRule type="cellIs" priority="4" operator="between" aboveAverage="0" equalAverage="0" bottom="0" percent="0" rank="0" text="" dxfId="8">
      <formula>-10000</formula>
      <formula>0</formula>
    </cfRule>
    <cfRule type="cellIs" priority="5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2026-05-25T09:56:54Z</dcterms:modified>
  <cp:revision>2</cp:revision>
  <dc:subject/>
  <dc:title/>
</cp:coreProperties>
</file>