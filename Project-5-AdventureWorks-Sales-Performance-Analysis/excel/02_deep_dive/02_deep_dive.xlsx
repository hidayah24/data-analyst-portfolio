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ikes_subcategory" sheetId="1" state="visible" r:id="rId3"/>
    <sheet name="Model vs Profit" sheetId="2" state="visible" r:id="rId4"/>
    <sheet name="WhatIf" sheetId="3" state="visible" r:id="rId5"/>
  </sheets>
  <calcPr iterateCount="100" refMode="A1" iterate="false" iterateDelta="0.001"/>
  <pivotCaches>
    <pivotCache cacheId="1" r:id="rId7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<sst xmlns="http://schemas.openxmlformats.org/spreadsheetml/2006/main" count="150" uniqueCount="49">
  <si>
    <t xml:space="preserve">modelname</t>
  </si>
  <si>
    <t xml:space="preserve">productcolor</t>
  </si>
  <si>
    <t xml:space="preserve">productstyle</t>
  </si>
  <si>
    <t xml:space="preserve">productsubcategorykey</t>
  </si>
  <si>
    <t xml:space="preserve">year</t>
  </si>
  <si>
    <t xml:space="preserve">qty</t>
  </si>
  <si>
    <t xml:space="preserve">revenue</t>
  </si>
  <si>
    <t xml:space="preserve">cost</t>
  </si>
  <si>
    <t xml:space="preserve">profit</t>
  </si>
  <si>
    <t xml:space="preserve">Road-250</t>
  </si>
  <si>
    <t xml:space="preserve">Black</t>
  </si>
  <si>
    <t xml:space="preserve">U</t>
  </si>
  <si>
    <t xml:space="preserve">Mountain-200</t>
  </si>
  <si>
    <t xml:space="preserve">Touring-3000</t>
  </si>
  <si>
    <t xml:space="preserve">Yellow</t>
  </si>
  <si>
    <t xml:space="preserve">Road-550-W</t>
  </si>
  <si>
    <t xml:space="preserve">W</t>
  </si>
  <si>
    <t xml:space="preserve">Silver</t>
  </si>
  <si>
    <t xml:space="preserve">Red</t>
  </si>
  <si>
    <t xml:space="preserve">Road-750</t>
  </si>
  <si>
    <t xml:space="preserve">Touring-2000</t>
  </si>
  <si>
    <t xml:space="preserve">Blue</t>
  </si>
  <si>
    <t xml:space="preserve">Touring-1000</t>
  </si>
  <si>
    <t xml:space="preserve">Road-650</t>
  </si>
  <si>
    <t xml:space="preserve">Mountain-400-W</t>
  </si>
  <si>
    <t xml:space="preserve">Mountain-500</t>
  </si>
  <si>
    <t xml:space="preserve">All-Purpose Bike Stand</t>
  </si>
  <si>
    <t xml:space="preserve">NA</t>
  </si>
  <si>
    <t xml:space="preserve">Road-350-W</t>
  </si>
  <si>
    <t xml:space="preserve">Hitch Rack - 4-Bike</t>
  </si>
  <si>
    <t xml:space="preserve">Data</t>
  </si>
  <si>
    <t xml:space="preserve">Total Sum - profit</t>
  </si>
  <si>
    <t xml:space="preserve">Total Sum - qty</t>
  </si>
  <si>
    <t xml:space="preserve">Total Average - cost</t>
  </si>
  <si>
    <t xml:space="preserve">Sum - profit</t>
  </si>
  <si>
    <t xml:space="preserve">Sum - qty</t>
  </si>
  <si>
    <t xml:space="preserve">Average - cost</t>
  </si>
  <si>
    <t xml:space="preserve">Profit_Delta</t>
  </si>
  <si>
    <t xml:space="preserve">Total Result</t>
  </si>
  <si>
    <t xml:space="preserve">Variable</t>
  </si>
  <si>
    <t xml:space="preserve">Current Value</t>
  </si>
  <si>
    <t xml:space="preserve">New Value</t>
  </si>
  <si>
    <t xml:space="preserve">Bikes Margin Ratio</t>
  </si>
  <si>
    <t xml:space="preserve">1.726 (+2%)</t>
  </si>
  <si>
    <t xml:space="preserve">Pacific Returns per Qty</t>
  </si>
  <si>
    <t xml:space="preserve">202 (-20%)</t>
  </si>
  <si>
    <t xml:space="preserve">Volume Growth 2023</t>
  </si>
  <si>
    <t xml:space="preserve">(25% 2022 actual)</t>
  </si>
  <si>
    <t xml:space="preserve">+10% (asumsi konservatif)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</si>
</sst>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0.0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5"/>
      <name val="Arial"/>
      <family val="2"/>
    </font>
    <font>
      <b val="true"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0" xfId="23" applyFont="false" applyBorder="fals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ont>
        <color rgb="FFCC0000"/>
      </font>
      <fill>
        <patternFill>
          <bgColor rgb="FFFFCC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500" b="1" u="none" strike="noStrike">
                <a:uFillTx/>
                <a:latin typeface="Arial"/>
              </a:rPr>
              <a:t>Model Name vs Profit Delta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'Model vs Profit'!$K$3</c:f>
              <c:strCache>
                <c:ptCount val="1"/>
                <c:pt idx="0">
                  <c:v>Profit_Delta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6"/>
            <c:invertIfNegative val="0"/>
            <c:spPr>
              <a:solidFill>
                <a:srgbClr val="ff0000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ff0000"/>
              </a:solidFill>
              <a:ln w="0">
                <a:noFill/>
              </a:ln>
            </c:spPr>
          </c:dPt>
          <c:dLbls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vs Profit'!$A$4:$A$16</c:f>
              <c:strCache>
                <c:ptCount val="13"/>
                <c:pt idx="0">
                  <c:v>All-Purpose Bike Stand</c:v>
                </c:pt>
                <c:pt idx="1">
                  <c:v>Hitch Rack - 4-Bike</c:v>
                </c:pt>
                <c:pt idx="2">
                  <c:v>Mountain-200</c:v>
                </c:pt>
                <c:pt idx="3">
                  <c:v>Mountain-400-W</c:v>
                </c:pt>
                <c:pt idx="4">
                  <c:v>Mountain-500</c:v>
                </c:pt>
                <c:pt idx="5">
                  <c:v>Road-250</c:v>
                </c:pt>
                <c:pt idx="6">
                  <c:v>Road-350-W</c:v>
                </c:pt>
                <c:pt idx="7">
                  <c:v>Road-550-W</c:v>
                </c:pt>
                <c:pt idx="8">
                  <c:v>Road-650</c:v>
                </c:pt>
                <c:pt idx="9">
                  <c:v>Road-750</c:v>
                </c:pt>
                <c:pt idx="10">
                  <c:v>Touring-1000</c:v>
                </c:pt>
                <c:pt idx="11">
                  <c:v>Touring-2000</c:v>
                </c:pt>
                <c:pt idx="12">
                  <c:v>Touring-3000</c:v>
                </c:pt>
              </c:strCache>
            </c:strRef>
          </c:cat>
          <c:val>
            <c:numRef>
              <c:f>'Model vs Profit'!$K$4:$K$16</c:f>
              <c:numCache>
                <c:formatCode>0.000</c:formatCode>
                <c:ptCount val="13"/>
                <c:pt idx="0">
                  <c:v>199.067999999999</c:v>
                </c:pt>
                <c:pt idx="1">
                  <c:v>-2403.84000000003</c:v>
                </c:pt>
                <c:pt idx="2">
                  <c:v>203752.308999999</c:v>
                </c:pt>
                <c:pt idx="3">
                  <c:v>-44413.3731999994</c:v>
                </c:pt>
                <c:pt idx="4">
                  <c:v>-22284.6269</c:v>
                </c:pt>
                <c:pt idx="5">
                  <c:v>526841.9087</c:v>
                </c:pt>
                <c:pt idx="6">
                  <c:v>-178740.719999998</c:v>
                </c:pt>
                <c:pt idx="7">
                  <c:v>4737.45959999983</c:v>
                </c:pt>
                <c:pt idx="8">
                  <c:v>0</c:v>
                </c:pt>
                <c:pt idx="9">
                  <c:v>-45158.2919999979</c:v>
                </c:pt>
                <c:pt idx="10">
                  <c:v>-322061.159699996</c:v>
                </c:pt>
                <c:pt idx="11">
                  <c:v>-19767.0656000001</c:v>
                </c:pt>
                <c:pt idx="12">
                  <c:v>-28652.3304000001</c:v>
                </c:pt>
              </c:numCache>
            </c:numRef>
          </c:val>
        </c:ser>
        <c:gapWidth val="100"/>
        <c:overlap val="0"/>
        <c:axId val="13943254"/>
        <c:axId val="84240866"/>
      </c:barChart>
      <c:catAx>
        <c:axId val="139432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4240866"/>
        <c:crosses val="autoZero"/>
        <c:auto val="1"/>
        <c:lblAlgn val="ctr"/>
        <c:lblOffset val="100"/>
        <c:noMultiLvlLbl val="0"/>
      </c:catAx>
      <c:valAx>
        <c:axId val="842408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394325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177840</xdr:colOff>
      <xdr:row>17</xdr:row>
      <xdr:rowOff>39600</xdr:rowOff>
    </xdr:from>
    <xdr:to>
      <xdr:col>9</xdr:col>
      <xdr:colOff>1084320</xdr:colOff>
      <xdr:row>36</xdr:row>
      <xdr:rowOff>55440</xdr:rowOff>
    </xdr:to>
    <xdr:graphicFrame>
      <xdr:nvGraphicFramePr>
        <xdr:cNvPr id="1" name=""/>
        <xdr:cNvGraphicFramePr/>
      </xdr:nvGraphicFramePr>
      <xdr:xfrm>
        <a:off x="4003560" y="2802960"/>
        <a:ext cx="5519880" cy="310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6" createdVersion="3">
  <cacheSource type="worksheet">
    <worksheetSource ref="A1:I37" sheet="bikes_subcategory"/>
  </cacheSource>
  <cacheFields count="9">
    <cacheField name="modelname" numFmtId="0">
      <sharedItems count="13">
        <s v="All-Purpose Bike Stand"/>
        <s v="Hitch Rack - 4-Bike"/>
        <s v="Mountain-200"/>
        <s v="Mountain-400-W"/>
        <s v="Mountain-500"/>
        <s v="Road-250"/>
        <s v="Road-350-W"/>
        <s v="Road-550-W"/>
        <s v="Road-650"/>
        <s v="Road-750"/>
        <s v="Touring-1000"/>
        <s v="Touring-2000"/>
        <s v="Touring-3000"/>
      </sharedItems>
    </cacheField>
    <cacheField name="productcolor" numFmtId="0">
      <sharedItems count="6">
        <s v="Black"/>
        <s v="Blue"/>
        <s v="NA"/>
        <s v="Red"/>
        <s v="Silver"/>
        <s v="Yellow"/>
      </sharedItems>
    </cacheField>
    <cacheField name="productstyle" numFmtId="0">
      <sharedItems containsMixedTypes="1" containsNumber="1" containsInteger="1" minValue="0" maxValue="0" count="3">
        <n v="0"/>
        <s v="U"/>
        <s v="W"/>
      </sharedItems>
    </cacheField>
    <cacheField name="productsubcategorykey" numFmtId="0">
      <sharedItems containsSemiMixedTypes="0" containsString="0" containsNumber="1" containsInteger="1" minValue="1" maxValue="27" count="5">
        <n v="1"/>
        <n v="2"/>
        <n v="3"/>
        <n v="26"/>
        <n v="27"/>
      </sharedItems>
    </cacheField>
    <cacheField name="year" numFmtId="0">
      <sharedItems containsSemiMixedTypes="0" containsString="0" containsNumber="1" containsInteger="1" minValue="2021" maxValue="2022" count="2">
        <n v="2021"/>
        <n v="2022"/>
      </sharedItems>
    </cacheField>
    <cacheField name="qty" numFmtId="0">
      <sharedItems containsSemiMixedTypes="0" containsString="0" containsNumber="1" containsInteger="1" minValue="63" maxValue="847" count="36">
        <n v="63"/>
        <n v="93"/>
        <n v="99"/>
        <n v="101"/>
        <n v="113"/>
        <n v="116"/>
        <n v="118"/>
        <n v="132"/>
        <n v="135"/>
        <n v="149"/>
        <n v="155"/>
        <n v="159"/>
        <n v="161"/>
        <n v="163"/>
        <n v="167"/>
        <n v="170"/>
        <n v="202"/>
        <n v="203"/>
        <n v="214"/>
        <n v="224"/>
        <n v="234"/>
        <n v="311"/>
        <n v="323"/>
        <n v="330"/>
        <n v="391"/>
        <n v="404"/>
        <n v="572"/>
        <n v="596"/>
        <n v="600"/>
        <n v="601"/>
        <n v="613"/>
        <n v="717"/>
        <n v="724"/>
        <n v="809"/>
        <n v="826"/>
        <n v="847"/>
      </sharedItems>
    </cacheField>
    <cacheField name="revenue" numFmtId="0">
      <sharedItems containsSemiMixedTypes="0" containsString="0" containsNumber="1" minValue="16200" maxValue="1735586.17539997" count="36">
        <n v="16200"/>
        <n v="18444"/>
        <n v="18762"/>
        <n v="20040"/>
        <n v="52544.07"/>
        <n v="53459.01"/>
        <n v="74578.68"/>
        <n v="74977.35"/>
        <n v="80458.5100000001"/>
        <n v="83885.5500000001"/>
        <n v="113953.0066"/>
        <n v="115064.25"/>
        <n v="118846.694"/>
        <n v="119518.35"/>
        <n v="137438.4375"/>
        <n v="156206.47"/>
        <n v="193161.150000001"/>
        <n v="245399.700000001"/>
        <n v="253931.699999999"/>
        <n v="321834.039999997"/>
        <n v="446031.739999995"/>
        <n v="510190.980000001"/>
        <n v="510485.625"/>
        <n v="529007.889999998"/>
        <n v="534031.680000001"/>
        <n v="601262.9375"/>
        <n v="613268.1875"/>
        <n v="754122.524999998"/>
        <n v="932171.369999993"/>
        <n v="963164.279999992"/>
        <n v="1020594"/>
        <n v="1247853.75"/>
        <n v="1483547.09679998"/>
        <n v="1485207.85319999"/>
        <n v="1675778.45639998"/>
        <n v="1735586.17539997"/>
      </sharedItems>
    </cacheField>
    <cacheField name="cost" numFmtId="0">
      <sharedItems containsSemiMixedTypes="0" containsString="0" containsNumber="1" minValue="6058.80000000001" maxValue="936621.07000002" count="36">
        <n v="6058.80000000001"/>
        <n v="6898.05600000001"/>
        <n v="7016.98800000001"/>
        <n v="7494.96000000002"/>
        <n v="28664.2647"/>
        <n v="29163.3902999999"/>
        <n v="40684.7628000001"/>
        <n v="43892.3753"/>
        <n v="46605.9248"/>
        <n v="52143.2623999999"/>
        <n v="67342.8469"/>
        <n v="70234.871"/>
        <n v="71523.9439999998"/>
        <n v="74292.6127999998"/>
        <n v="83203.0794"/>
        <n v="85215.0152"/>
        <n v="120068.9772"/>
        <n v="138526.872"/>
        <n v="152540.4616"/>
        <n v="204815.161600001"/>
        <n v="283854.569600002"/>
        <n v="309040.0092"/>
        <n v="317134.7106"/>
        <n v="331954.0896"/>
        <n v="336660.610000001"/>
        <n v="363995.169200001"/>
        <n v="371262.9596"/>
        <n v="464022.2588"/>
        <n v="579437.718900003"/>
        <n v="598702.911600004"/>
        <n v="649506.000000004"/>
        <n v="755431.1336"/>
        <n v="800606.440000013"/>
        <n v="801502.680299996"/>
        <n v="904345.423099993"/>
        <n v="936621.07000002"/>
      </sharedItems>
    </cacheField>
    <cacheField name="profit" numFmtId="0">
      <sharedItems containsSemiMixedTypes="0" containsString="0" containsNumber="1" minValue="10141.2" maxValue="798965.10539999" count="36">
        <n v="10141.2"/>
        <n v="11545.944"/>
        <n v="11745.012"/>
        <n v="12545.04"/>
        <n v="23879.8053"/>
        <n v="24295.6197"/>
        <n v="28371.4252"/>
        <n v="31742.2876"/>
        <n v="33893.9171999999"/>
        <n v="36566.1347"/>
        <n v="43540.3060000001"/>
        <n v="45225.7372000001"/>
        <n v="46610.1597"/>
        <n v="48611.823"/>
        <n v="54235.3581"/>
        <n v="70991.4548000001"/>
        <n v="73092.1728000002"/>
        <n v="92859.2384000003"/>
        <n v="115404.827999999"/>
        <n v="117018.8784"/>
        <n v="162177.170399998"/>
        <n v="192347.280000001"/>
        <n v="193056.269399999"/>
        <n v="201445.6158"/>
        <n v="202077.590399999"/>
        <n v="237267.768299996"/>
        <n v="242005.227899996"/>
        <n v="290100.266199999"/>
        <n v="352733.651099997"/>
        <n v="364461.368399997"/>
        <n v="371087.999999999"/>
        <n v="492422.616400001"/>
        <n v="682940.656799996"/>
        <n v="683705.172900009"/>
        <n v="771433.033300014"/>
        <n v="798965.1053999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5"/>
    <x v="0"/>
    <x v="1"/>
    <x v="1"/>
    <x v="0"/>
    <x v="26"/>
    <x v="31"/>
    <x v="31"/>
    <x v="31"/>
  </r>
  <r>
    <x v="2"/>
    <x v="0"/>
    <x v="1"/>
    <x v="0"/>
    <x v="0"/>
    <x v="35"/>
    <x v="35"/>
    <x v="35"/>
    <x v="35"/>
  </r>
  <r>
    <x v="12"/>
    <x v="5"/>
    <x v="1"/>
    <x v="2"/>
    <x v="0"/>
    <x v="3"/>
    <x v="7"/>
    <x v="8"/>
    <x v="6"/>
  </r>
  <r>
    <x v="7"/>
    <x v="5"/>
    <x v="2"/>
    <x v="1"/>
    <x v="0"/>
    <x v="30"/>
    <x v="26"/>
    <x v="26"/>
    <x v="26"/>
  </r>
  <r>
    <x v="2"/>
    <x v="4"/>
    <x v="1"/>
    <x v="0"/>
    <x v="0"/>
    <x v="33"/>
    <x v="34"/>
    <x v="34"/>
    <x v="34"/>
  </r>
  <r>
    <x v="5"/>
    <x v="3"/>
    <x v="1"/>
    <x v="1"/>
    <x v="0"/>
    <x v="22"/>
    <x v="27"/>
    <x v="27"/>
    <x v="27"/>
  </r>
  <r>
    <x v="9"/>
    <x v="0"/>
    <x v="1"/>
    <x v="1"/>
    <x v="0"/>
    <x v="27"/>
    <x v="19"/>
    <x v="19"/>
    <x v="19"/>
  </r>
  <r>
    <x v="11"/>
    <x v="1"/>
    <x v="1"/>
    <x v="2"/>
    <x v="0"/>
    <x v="11"/>
    <x v="16"/>
    <x v="16"/>
    <x v="16"/>
  </r>
  <r>
    <x v="10"/>
    <x v="1"/>
    <x v="1"/>
    <x v="2"/>
    <x v="0"/>
    <x v="19"/>
    <x v="24"/>
    <x v="23"/>
    <x v="24"/>
  </r>
  <r>
    <x v="8"/>
    <x v="0"/>
    <x v="1"/>
    <x v="1"/>
    <x v="0"/>
    <x v="13"/>
    <x v="10"/>
    <x v="10"/>
    <x v="12"/>
  </r>
  <r>
    <x v="3"/>
    <x v="4"/>
    <x v="2"/>
    <x v="0"/>
    <x v="0"/>
    <x v="17"/>
    <x v="15"/>
    <x v="15"/>
    <x v="15"/>
  </r>
  <r>
    <x v="4"/>
    <x v="4"/>
    <x v="1"/>
    <x v="0"/>
    <x v="0"/>
    <x v="1"/>
    <x v="4"/>
    <x v="4"/>
    <x v="4"/>
  </r>
  <r>
    <x v="10"/>
    <x v="5"/>
    <x v="1"/>
    <x v="2"/>
    <x v="0"/>
    <x v="18"/>
    <x v="21"/>
    <x v="22"/>
    <x v="22"/>
  </r>
  <r>
    <x v="8"/>
    <x v="3"/>
    <x v="1"/>
    <x v="1"/>
    <x v="0"/>
    <x v="15"/>
    <x v="12"/>
    <x v="11"/>
    <x v="13"/>
  </r>
  <r>
    <x v="0"/>
    <x v="2"/>
    <x v="0"/>
    <x v="4"/>
    <x v="0"/>
    <x v="6"/>
    <x v="2"/>
    <x v="2"/>
    <x v="2"/>
  </r>
  <r>
    <x v="6"/>
    <x v="5"/>
    <x v="2"/>
    <x v="1"/>
    <x v="0"/>
    <x v="21"/>
    <x v="23"/>
    <x v="24"/>
    <x v="21"/>
  </r>
  <r>
    <x v="12"/>
    <x v="1"/>
    <x v="1"/>
    <x v="2"/>
    <x v="0"/>
    <x v="4"/>
    <x v="9"/>
    <x v="9"/>
    <x v="7"/>
  </r>
  <r>
    <x v="4"/>
    <x v="0"/>
    <x v="1"/>
    <x v="0"/>
    <x v="0"/>
    <x v="2"/>
    <x v="5"/>
    <x v="5"/>
    <x v="5"/>
  </r>
  <r>
    <x v="1"/>
    <x v="2"/>
    <x v="0"/>
    <x v="3"/>
    <x v="0"/>
    <x v="8"/>
    <x v="0"/>
    <x v="0"/>
    <x v="0"/>
  </r>
  <r>
    <x v="5"/>
    <x v="0"/>
    <x v="1"/>
    <x v="1"/>
    <x v="1"/>
    <x v="20"/>
    <x v="22"/>
    <x v="21"/>
    <x v="23"/>
  </r>
  <r>
    <x v="2"/>
    <x v="0"/>
    <x v="1"/>
    <x v="0"/>
    <x v="1"/>
    <x v="32"/>
    <x v="32"/>
    <x v="32"/>
    <x v="32"/>
  </r>
  <r>
    <x v="12"/>
    <x v="5"/>
    <x v="1"/>
    <x v="2"/>
    <x v="1"/>
    <x v="10"/>
    <x v="11"/>
    <x v="12"/>
    <x v="10"/>
  </r>
  <r>
    <x v="4"/>
    <x v="4"/>
    <x v="1"/>
    <x v="0"/>
    <x v="1"/>
    <x v="7"/>
    <x v="6"/>
    <x v="6"/>
    <x v="8"/>
  </r>
  <r>
    <x v="10"/>
    <x v="5"/>
    <x v="1"/>
    <x v="2"/>
    <x v="1"/>
    <x v="24"/>
    <x v="28"/>
    <x v="28"/>
    <x v="28"/>
  </r>
  <r>
    <x v="3"/>
    <x v="4"/>
    <x v="2"/>
    <x v="0"/>
    <x v="1"/>
    <x v="23"/>
    <x v="18"/>
    <x v="17"/>
    <x v="18"/>
  </r>
  <r>
    <x v="9"/>
    <x v="0"/>
    <x v="1"/>
    <x v="1"/>
    <x v="1"/>
    <x v="34"/>
    <x v="20"/>
    <x v="20"/>
    <x v="20"/>
  </r>
  <r>
    <x v="2"/>
    <x v="4"/>
    <x v="1"/>
    <x v="0"/>
    <x v="1"/>
    <x v="31"/>
    <x v="33"/>
    <x v="33"/>
    <x v="33"/>
  </r>
  <r>
    <x v="5"/>
    <x v="3"/>
    <x v="1"/>
    <x v="1"/>
    <x v="1"/>
    <x v="0"/>
    <x v="14"/>
    <x v="14"/>
    <x v="14"/>
  </r>
  <r>
    <x v="11"/>
    <x v="1"/>
    <x v="1"/>
    <x v="2"/>
    <x v="1"/>
    <x v="16"/>
    <x v="17"/>
    <x v="18"/>
    <x v="17"/>
  </r>
  <r>
    <x v="10"/>
    <x v="1"/>
    <x v="1"/>
    <x v="2"/>
    <x v="1"/>
    <x v="25"/>
    <x v="29"/>
    <x v="29"/>
    <x v="29"/>
  </r>
  <r>
    <x v="7"/>
    <x v="5"/>
    <x v="2"/>
    <x v="1"/>
    <x v="1"/>
    <x v="29"/>
    <x v="25"/>
    <x v="25"/>
    <x v="25"/>
  </r>
  <r>
    <x v="6"/>
    <x v="5"/>
    <x v="2"/>
    <x v="1"/>
    <x v="1"/>
    <x v="28"/>
    <x v="30"/>
    <x v="30"/>
    <x v="30"/>
  </r>
  <r>
    <x v="1"/>
    <x v="2"/>
    <x v="0"/>
    <x v="3"/>
    <x v="1"/>
    <x v="14"/>
    <x v="3"/>
    <x v="3"/>
    <x v="3"/>
  </r>
  <r>
    <x v="12"/>
    <x v="1"/>
    <x v="1"/>
    <x v="2"/>
    <x v="1"/>
    <x v="12"/>
    <x v="13"/>
    <x v="13"/>
    <x v="11"/>
  </r>
  <r>
    <x v="4"/>
    <x v="0"/>
    <x v="1"/>
    <x v="0"/>
    <x v="1"/>
    <x v="9"/>
    <x v="8"/>
    <x v="7"/>
    <x v="9"/>
  </r>
  <r>
    <x v="0"/>
    <x v="2"/>
    <x v="0"/>
    <x v="4"/>
    <x v="1"/>
    <x v="5"/>
    <x v="1"/>
    <x v="1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J17" firstHeaderRow="1" firstDataRow="3" firstDataCol="1"/>
  <pivotFields count="9">
    <pivotField axis="axisRow" compact="0" showAll="0" defaultSubtotal="0" outline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compact="0" showAll="0"/>
    <pivotField compact="0" showAll="0"/>
    <pivotField compact="0" showAll="0"/>
    <pivotField axis="axisCol" compact="0" showAll="0" defaultSubtotal="0" outline="0">
      <items count="2">
        <item x="0"/>
        <item x="1"/>
      </items>
    </pivotField>
    <pivotField dataField="1" compact="0" showAll="0" outline="0"/>
    <pivotField compact="0" showAll="0"/>
    <pivotField dataField="1" compact="0" showAll="0" outline="0"/>
    <pivotField dataField="1" compact="0" showAll="0" outline="0"/>
  </pivotFields>
  <rowFields count="1">
    <field x="0"/>
  </rowFields>
  <rowItems count="14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 v="13"/>
    </i>
  </rowItems>
  <colFields count="2">
    <field x="4"/>
    <field x="-2"/>
  </colFields>
  <colItems count="9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 t="grand">
      <x v="8"/>
    </i>
  </colItems>
  <dataFields count="3">
    <dataField name="Sum - profit" fld="8" subtotal="sum" numFmtId="166"/>
    <dataField name="Sum - qty" fld="5" subtotal="sum" numFmtId="165"/>
    <dataField name="Average - cost" fld="7" subtotal="average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35"/>
    <col collapsed="false" customWidth="true" hidden="false" outlineLevel="0" max="2" min="2" style="0" width="11.45"/>
    <col collapsed="false" customWidth="true" hidden="false" outlineLevel="0" max="3" min="3" style="1" width="11.45"/>
    <col collapsed="false" customWidth="true" hidden="false" outlineLevel="0" max="4" min="4" style="2" width="20.35"/>
    <col collapsed="false" customWidth="true" hidden="false" outlineLevel="0" max="5" min="5" style="2" width="5.05"/>
    <col collapsed="false" customWidth="true" hidden="false" outlineLevel="0" max="6" min="6" style="2" width="4.07"/>
    <col collapsed="false" customWidth="true" hidden="false" outlineLevel="0" max="9" min="7" style="3" width="16.7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1" t="s">
        <v>11</v>
      </c>
      <c r="D2" s="2" t="n">
        <v>2</v>
      </c>
      <c r="E2" s="2" t="n">
        <v>2021</v>
      </c>
      <c r="F2" s="2" t="n">
        <v>572</v>
      </c>
      <c r="G2" s="3" t="n">
        <v>1247853.75</v>
      </c>
      <c r="H2" s="3" t="n">
        <v>755431.1336</v>
      </c>
      <c r="I2" s="3" t="n">
        <v>492422.616400001</v>
      </c>
    </row>
    <row r="3" customFormat="false" ht="12.8" hidden="false" customHeight="false" outlineLevel="0" collapsed="false">
      <c r="A3" s="0" t="s">
        <v>12</v>
      </c>
      <c r="B3" s="0" t="s">
        <v>10</v>
      </c>
      <c r="C3" s="1" t="s">
        <v>11</v>
      </c>
      <c r="D3" s="2" t="n">
        <v>1</v>
      </c>
      <c r="E3" s="2" t="n">
        <v>2021</v>
      </c>
      <c r="F3" s="2" t="n">
        <v>847</v>
      </c>
      <c r="G3" s="3" t="n">
        <v>1735586.17539997</v>
      </c>
      <c r="H3" s="3" t="n">
        <v>936621.07000002</v>
      </c>
      <c r="I3" s="3" t="n">
        <v>798965.10539999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1" t="s">
        <v>11</v>
      </c>
      <c r="D4" s="2" t="n">
        <v>3</v>
      </c>
      <c r="E4" s="2" t="n">
        <v>2021</v>
      </c>
      <c r="F4" s="2" t="n">
        <v>101</v>
      </c>
      <c r="G4" s="3" t="n">
        <v>74977.35</v>
      </c>
      <c r="H4" s="3" t="n">
        <v>46605.9248</v>
      </c>
      <c r="I4" s="3" t="n">
        <v>28371.4252</v>
      </c>
    </row>
    <row r="5" customFormat="false" ht="12.8" hidden="false" customHeight="false" outlineLevel="0" collapsed="false">
      <c r="A5" s="0" t="s">
        <v>15</v>
      </c>
      <c r="B5" s="0" t="s">
        <v>14</v>
      </c>
      <c r="C5" s="1" t="s">
        <v>16</v>
      </c>
      <c r="D5" s="2" t="n">
        <v>2</v>
      </c>
      <c r="E5" s="2" t="n">
        <v>2021</v>
      </c>
      <c r="F5" s="2" t="n">
        <v>613</v>
      </c>
      <c r="G5" s="3" t="n">
        <v>613268.1875</v>
      </c>
      <c r="H5" s="3" t="n">
        <v>371262.9596</v>
      </c>
      <c r="I5" s="3" t="n">
        <v>242005.227899996</v>
      </c>
    </row>
    <row r="6" customFormat="false" ht="12.8" hidden="false" customHeight="false" outlineLevel="0" collapsed="false">
      <c r="A6" s="0" t="s">
        <v>12</v>
      </c>
      <c r="B6" s="0" t="s">
        <v>17</v>
      </c>
      <c r="C6" s="1" t="s">
        <v>11</v>
      </c>
      <c r="D6" s="2" t="n">
        <v>1</v>
      </c>
      <c r="E6" s="2" t="n">
        <v>2021</v>
      </c>
      <c r="F6" s="2" t="n">
        <v>809</v>
      </c>
      <c r="G6" s="3" t="n">
        <v>1675778.45639998</v>
      </c>
      <c r="H6" s="3" t="n">
        <v>904345.423099993</v>
      </c>
      <c r="I6" s="3" t="n">
        <v>771433.033300014</v>
      </c>
    </row>
    <row r="7" customFormat="false" ht="12.8" hidden="false" customHeight="false" outlineLevel="0" collapsed="false">
      <c r="A7" s="0" t="s">
        <v>9</v>
      </c>
      <c r="B7" s="0" t="s">
        <v>18</v>
      </c>
      <c r="C7" s="1" t="s">
        <v>11</v>
      </c>
      <c r="D7" s="2" t="n">
        <v>2</v>
      </c>
      <c r="E7" s="2" t="n">
        <v>2021</v>
      </c>
      <c r="F7" s="2" t="n">
        <v>323</v>
      </c>
      <c r="G7" s="3" t="n">
        <v>754122.524999998</v>
      </c>
      <c r="H7" s="3" t="n">
        <v>464022.2588</v>
      </c>
      <c r="I7" s="3" t="n">
        <v>290100.266199999</v>
      </c>
    </row>
    <row r="8" customFormat="false" ht="12.8" hidden="false" customHeight="false" outlineLevel="0" collapsed="false">
      <c r="A8" s="0" t="s">
        <v>19</v>
      </c>
      <c r="B8" s="0" t="s">
        <v>10</v>
      </c>
      <c r="C8" s="1" t="s">
        <v>11</v>
      </c>
      <c r="D8" s="2" t="n">
        <v>2</v>
      </c>
      <c r="E8" s="2" t="n">
        <v>2021</v>
      </c>
      <c r="F8" s="2" t="n">
        <v>596</v>
      </c>
      <c r="G8" s="3" t="n">
        <v>321834.039999997</v>
      </c>
      <c r="H8" s="3" t="n">
        <v>204815.161600001</v>
      </c>
      <c r="I8" s="3" t="n">
        <v>117018.8784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1" t="s">
        <v>11</v>
      </c>
      <c r="D9" s="2" t="n">
        <v>3</v>
      </c>
      <c r="E9" s="2" t="n">
        <v>2021</v>
      </c>
      <c r="F9" s="2" t="n">
        <v>159</v>
      </c>
      <c r="G9" s="3" t="n">
        <v>193161.150000001</v>
      </c>
      <c r="H9" s="3" t="n">
        <v>120068.9772</v>
      </c>
      <c r="I9" s="3" t="n">
        <v>73092.1728000002</v>
      </c>
    </row>
    <row r="10" customFormat="false" ht="12.8" hidden="false" customHeight="false" outlineLevel="0" collapsed="false">
      <c r="A10" s="0" t="s">
        <v>22</v>
      </c>
      <c r="B10" s="0" t="s">
        <v>21</v>
      </c>
      <c r="C10" s="1" t="s">
        <v>11</v>
      </c>
      <c r="D10" s="2" t="n">
        <v>3</v>
      </c>
      <c r="E10" s="2" t="n">
        <v>2021</v>
      </c>
      <c r="F10" s="2" t="n">
        <v>224</v>
      </c>
      <c r="G10" s="3" t="n">
        <v>534031.680000001</v>
      </c>
      <c r="H10" s="3" t="n">
        <v>331954.0896</v>
      </c>
      <c r="I10" s="3" t="n">
        <v>202077.590399999</v>
      </c>
    </row>
    <row r="11" customFormat="false" ht="12.8" hidden="false" customHeight="false" outlineLevel="0" collapsed="false">
      <c r="A11" s="0" t="s">
        <v>23</v>
      </c>
      <c r="B11" s="0" t="s">
        <v>10</v>
      </c>
      <c r="C11" s="1" t="s">
        <v>11</v>
      </c>
      <c r="D11" s="2" t="n">
        <v>2</v>
      </c>
      <c r="E11" s="2" t="n">
        <v>2021</v>
      </c>
      <c r="F11" s="2" t="n">
        <v>163</v>
      </c>
      <c r="G11" s="3" t="n">
        <v>113953.0066</v>
      </c>
      <c r="H11" s="3" t="n">
        <v>67342.8469</v>
      </c>
      <c r="I11" s="3" t="n">
        <v>46610.1597</v>
      </c>
    </row>
    <row r="12" customFormat="false" ht="12.8" hidden="false" customHeight="false" outlineLevel="0" collapsed="false">
      <c r="A12" s="0" t="s">
        <v>24</v>
      </c>
      <c r="B12" s="0" t="s">
        <v>17</v>
      </c>
      <c r="C12" s="1" t="s">
        <v>16</v>
      </c>
      <c r="D12" s="2" t="n">
        <v>1</v>
      </c>
      <c r="E12" s="2" t="n">
        <v>2021</v>
      </c>
      <c r="F12" s="2" t="n">
        <v>203</v>
      </c>
      <c r="G12" s="3" t="n">
        <v>156206.47</v>
      </c>
      <c r="H12" s="3" t="n">
        <v>85215.0152</v>
      </c>
      <c r="I12" s="3" t="n">
        <v>70991.4548000001</v>
      </c>
    </row>
    <row r="13" customFormat="false" ht="12.8" hidden="false" customHeight="false" outlineLevel="0" collapsed="false">
      <c r="A13" s="0" t="s">
        <v>25</v>
      </c>
      <c r="B13" s="0" t="s">
        <v>17</v>
      </c>
      <c r="C13" s="1" t="s">
        <v>11</v>
      </c>
      <c r="D13" s="2" t="n">
        <v>1</v>
      </c>
      <c r="E13" s="2" t="n">
        <v>2021</v>
      </c>
      <c r="F13" s="2" t="n">
        <v>93</v>
      </c>
      <c r="G13" s="3" t="n">
        <v>52544.07</v>
      </c>
      <c r="H13" s="3" t="n">
        <v>28664.2647</v>
      </c>
      <c r="I13" s="3" t="n">
        <v>23879.8053</v>
      </c>
    </row>
    <row r="14" customFormat="false" ht="12.8" hidden="false" customHeight="false" outlineLevel="0" collapsed="false">
      <c r="A14" s="0" t="s">
        <v>22</v>
      </c>
      <c r="B14" s="0" t="s">
        <v>14</v>
      </c>
      <c r="C14" s="1" t="s">
        <v>11</v>
      </c>
      <c r="D14" s="2" t="n">
        <v>3</v>
      </c>
      <c r="E14" s="2" t="n">
        <v>2021</v>
      </c>
      <c r="F14" s="2" t="n">
        <v>214</v>
      </c>
      <c r="G14" s="3" t="n">
        <v>510190.980000001</v>
      </c>
      <c r="H14" s="3" t="n">
        <v>317134.7106</v>
      </c>
      <c r="I14" s="3" t="n">
        <v>193056.269399999</v>
      </c>
    </row>
    <row r="15" customFormat="false" ht="12.8" hidden="false" customHeight="false" outlineLevel="0" collapsed="false">
      <c r="A15" s="0" t="s">
        <v>23</v>
      </c>
      <c r="B15" s="0" t="s">
        <v>18</v>
      </c>
      <c r="C15" s="1" t="s">
        <v>11</v>
      </c>
      <c r="D15" s="2" t="n">
        <v>2</v>
      </c>
      <c r="E15" s="2" t="n">
        <v>2021</v>
      </c>
      <c r="F15" s="2" t="n">
        <v>170</v>
      </c>
      <c r="G15" s="3" t="n">
        <v>118846.694</v>
      </c>
      <c r="H15" s="3" t="n">
        <v>70234.871</v>
      </c>
      <c r="I15" s="3" t="n">
        <v>48611.823</v>
      </c>
    </row>
    <row r="16" customFormat="false" ht="12.8" hidden="false" customHeight="false" outlineLevel="0" collapsed="false">
      <c r="A16" s="0" t="s">
        <v>26</v>
      </c>
      <c r="B16" s="0" t="s">
        <v>27</v>
      </c>
      <c r="C16" s="1" t="n">
        <v>0</v>
      </c>
      <c r="D16" s="2" t="n">
        <v>27</v>
      </c>
      <c r="E16" s="2" t="n">
        <v>2021</v>
      </c>
      <c r="F16" s="2" t="n">
        <v>118</v>
      </c>
      <c r="G16" s="3" t="n">
        <v>18762</v>
      </c>
      <c r="H16" s="3" t="n">
        <v>7016.98800000001</v>
      </c>
      <c r="I16" s="3" t="n">
        <v>11745.012</v>
      </c>
    </row>
    <row r="17" customFormat="false" ht="12.8" hidden="false" customHeight="false" outlineLevel="0" collapsed="false">
      <c r="A17" s="0" t="s">
        <v>28</v>
      </c>
      <c r="B17" s="0" t="s">
        <v>14</v>
      </c>
      <c r="C17" s="1" t="s">
        <v>16</v>
      </c>
      <c r="D17" s="2" t="n">
        <v>2</v>
      </c>
      <c r="E17" s="2" t="n">
        <v>2021</v>
      </c>
      <c r="F17" s="2" t="n">
        <v>311</v>
      </c>
      <c r="G17" s="3" t="n">
        <v>529007.889999998</v>
      </c>
      <c r="H17" s="3" t="n">
        <v>336660.610000001</v>
      </c>
      <c r="I17" s="3" t="n">
        <v>192347.280000001</v>
      </c>
    </row>
    <row r="18" customFormat="false" ht="12.8" hidden="false" customHeight="false" outlineLevel="0" collapsed="false">
      <c r="A18" s="0" t="s">
        <v>13</v>
      </c>
      <c r="B18" s="0" t="s">
        <v>21</v>
      </c>
      <c r="C18" s="1" t="s">
        <v>11</v>
      </c>
      <c r="D18" s="2" t="n">
        <v>3</v>
      </c>
      <c r="E18" s="2" t="n">
        <v>2021</v>
      </c>
      <c r="F18" s="2" t="n">
        <v>113</v>
      </c>
      <c r="G18" s="3" t="n">
        <v>83885.5500000001</v>
      </c>
      <c r="H18" s="3" t="n">
        <v>52143.2623999999</v>
      </c>
      <c r="I18" s="3" t="n">
        <v>31742.2876</v>
      </c>
    </row>
    <row r="19" customFormat="false" ht="12.8" hidden="false" customHeight="false" outlineLevel="0" collapsed="false">
      <c r="A19" s="0" t="s">
        <v>25</v>
      </c>
      <c r="B19" s="0" t="s">
        <v>10</v>
      </c>
      <c r="C19" s="1" t="s">
        <v>11</v>
      </c>
      <c r="D19" s="2" t="n">
        <v>1</v>
      </c>
      <c r="E19" s="2" t="n">
        <v>2021</v>
      </c>
      <c r="F19" s="2" t="n">
        <v>99</v>
      </c>
      <c r="G19" s="3" t="n">
        <v>53459.01</v>
      </c>
      <c r="H19" s="3" t="n">
        <v>29163.3902999999</v>
      </c>
      <c r="I19" s="3" t="n">
        <v>24295.6197</v>
      </c>
    </row>
    <row r="20" customFormat="false" ht="12.8" hidden="false" customHeight="false" outlineLevel="0" collapsed="false">
      <c r="A20" s="0" t="s">
        <v>29</v>
      </c>
      <c r="B20" s="0" t="s">
        <v>27</v>
      </c>
      <c r="C20" s="1" t="n">
        <v>0</v>
      </c>
      <c r="D20" s="2" t="n">
        <v>26</v>
      </c>
      <c r="E20" s="2" t="n">
        <v>2021</v>
      </c>
      <c r="F20" s="2" t="n">
        <v>135</v>
      </c>
      <c r="G20" s="3" t="n">
        <v>16200</v>
      </c>
      <c r="H20" s="3" t="n">
        <v>6058.80000000001</v>
      </c>
      <c r="I20" s="3" t="n">
        <v>10141.2</v>
      </c>
    </row>
    <row r="21" customFormat="false" ht="12.8" hidden="false" customHeight="false" outlineLevel="0" collapsed="false">
      <c r="A21" s="0" t="s">
        <v>9</v>
      </c>
      <c r="B21" s="0" t="s">
        <v>10</v>
      </c>
      <c r="C21" s="1" t="s">
        <v>11</v>
      </c>
      <c r="D21" s="2" t="n">
        <v>2</v>
      </c>
      <c r="E21" s="2" t="n">
        <v>2022</v>
      </c>
      <c r="F21" s="2" t="n">
        <v>234</v>
      </c>
      <c r="G21" s="3" t="n">
        <v>510485.625</v>
      </c>
      <c r="H21" s="3" t="n">
        <v>309040.0092</v>
      </c>
      <c r="I21" s="3" t="n">
        <v>201445.6158</v>
      </c>
    </row>
    <row r="22" customFormat="false" ht="12.8" hidden="false" customHeight="false" outlineLevel="0" collapsed="false">
      <c r="A22" s="0" t="s">
        <v>12</v>
      </c>
      <c r="B22" s="0" t="s">
        <v>10</v>
      </c>
      <c r="C22" s="1" t="s">
        <v>11</v>
      </c>
      <c r="D22" s="2" t="n">
        <v>1</v>
      </c>
      <c r="E22" s="2" t="n">
        <v>2022</v>
      </c>
      <c r="F22" s="2" t="n">
        <v>724</v>
      </c>
      <c r="G22" s="3" t="n">
        <v>1483547.09679998</v>
      </c>
      <c r="H22" s="3" t="n">
        <v>800606.440000013</v>
      </c>
      <c r="I22" s="3" t="n">
        <v>682940.656799996</v>
      </c>
    </row>
    <row r="23" customFormat="false" ht="12.8" hidden="false" customHeight="false" outlineLevel="0" collapsed="false">
      <c r="A23" s="0" t="s">
        <v>13</v>
      </c>
      <c r="B23" s="0" t="s">
        <v>14</v>
      </c>
      <c r="C23" s="1" t="s">
        <v>11</v>
      </c>
      <c r="D23" s="2" t="n">
        <v>3</v>
      </c>
      <c r="E23" s="2" t="n">
        <v>2022</v>
      </c>
      <c r="F23" s="2" t="n">
        <v>155</v>
      </c>
      <c r="G23" s="3" t="n">
        <v>115064.25</v>
      </c>
      <c r="H23" s="3" t="n">
        <v>71523.9439999998</v>
      </c>
      <c r="I23" s="3" t="n">
        <v>43540.3060000001</v>
      </c>
    </row>
    <row r="24" customFormat="false" ht="12.8" hidden="false" customHeight="false" outlineLevel="0" collapsed="false">
      <c r="A24" s="0" t="s">
        <v>25</v>
      </c>
      <c r="B24" s="0" t="s">
        <v>17</v>
      </c>
      <c r="C24" s="1" t="s">
        <v>11</v>
      </c>
      <c r="D24" s="2" t="n">
        <v>1</v>
      </c>
      <c r="E24" s="2" t="n">
        <v>2022</v>
      </c>
      <c r="F24" s="2" t="n">
        <v>132</v>
      </c>
      <c r="G24" s="3" t="n">
        <v>74578.68</v>
      </c>
      <c r="H24" s="3" t="n">
        <v>40684.7628000001</v>
      </c>
      <c r="I24" s="3" t="n">
        <v>33893.9171999999</v>
      </c>
    </row>
    <row r="25" customFormat="false" ht="12.8" hidden="false" customHeight="false" outlineLevel="0" collapsed="false">
      <c r="A25" s="0" t="s">
        <v>22</v>
      </c>
      <c r="B25" s="0" t="s">
        <v>14</v>
      </c>
      <c r="C25" s="1" t="s">
        <v>11</v>
      </c>
      <c r="D25" s="2" t="n">
        <v>3</v>
      </c>
      <c r="E25" s="2" t="n">
        <v>2022</v>
      </c>
      <c r="F25" s="2" t="n">
        <v>391</v>
      </c>
      <c r="G25" s="3" t="n">
        <v>932171.369999993</v>
      </c>
      <c r="H25" s="3" t="n">
        <v>579437.718900003</v>
      </c>
      <c r="I25" s="3" t="n">
        <v>352733.651099997</v>
      </c>
    </row>
    <row r="26" customFormat="false" ht="12.8" hidden="false" customHeight="false" outlineLevel="0" collapsed="false">
      <c r="A26" s="0" t="s">
        <v>24</v>
      </c>
      <c r="B26" s="0" t="s">
        <v>17</v>
      </c>
      <c r="C26" s="1" t="s">
        <v>16</v>
      </c>
      <c r="D26" s="2" t="n">
        <v>1</v>
      </c>
      <c r="E26" s="2" t="n">
        <v>2022</v>
      </c>
      <c r="F26" s="2" t="n">
        <v>330</v>
      </c>
      <c r="G26" s="3" t="n">
        <v>253931.699999999</v>
      </c>
      <c r="H26" s="3" t="n">
        <v>138526.872</v>
      </c>
      <c r="I26" s="3" t="n">
        <v>115404.827999999</v>
      </c>
    </row>
    <row r="27" customFormat="false" ht="12.8" hidden="false" customHeight="false" outlineLevel="0" collapsed="false">
      <c r="A27" s="0" t="s">
        <v>19</v>
      </c>
      <c r="B27" s="0" t="s">
        <v>10</v>
      </c>
      <c r="C27" s="1" t="s">
        <v>11</v>
      </c>
      <c r="D27" s="2" t="n">
        <v>2</v>
      </c>
      <c r="E27" s="2" t="n">
        <v>2022</v>
      </c>
      <c r="F27" s="2" t="n">
        <v>826</v>
      </c>
      <c r="G27" s="3" t="n">
        <v>446031.739999995</v>
      </c>
      <c r="H27" s="3" t="n">
        <v>283854.569600002</v>
      </c>
      <c r="I27" s="3" t="n">
        <v>162177.170399998</v>
      </c>
    </row>
    <row r="28" customFormat="false" ht="12.8" hidden="false" customHeight="false" outlineLevel="0" collapsed="false">
      <c r="A28" s="0" t="s">
        <v>12</v>
      </c>
      <c r="B28" s="0" t="s">
        <v>17</v>
      </c>
      <c r="C28" s="1" t="s">
        <v>11</v>
      </c>
      <c r="D28" s="2" t="n">
        <v>1</v>
      </c>
      <c r="E28" s="2" t="n">
        <v>2022</v>
      </c>
      <c r="F28" s="2" t="n">
        <v>717</v>
      </c>
      <c r="G28" s="3" t="n">
        <v>1485207.85319999</v>
      </c>
      <c r="H28" s="3" t="n">
        <v>801502.680299996</v>
      </c>
      <c r="I28" s="3" t="n">
        <v>683705.172900009</v>
      </c>
    </row>
    <row r="29" customFormat="false" ht="12.8" hidden="false" customHeight="false" outlineLevel="0" collapsed="false">
      <c r="A29" s="0" t="s">
        <v>9</v>
      </c>
      <c r="B29" s="0" t="s">
        <v>18</v>
      </c>
      <c r="C29" s="1" t="s">
        <v>11</v>
      </c>
      <c r="D29" s="2" t="n">
        <v>2</v>
      </c>
      <c r="E29" s="2" t="n">
        <v>2022</v>
      </c>
      <c r="F29" s="2" t="n">
        <v>63</v>
      </c>
      <c r="G29" s="3" t="n">
        <v>137438.4375</v>
      </c>
      <c r="H29" s="3" t="n">
        <v>83203.0794</v>
      </c>
      <c r="I29" s="3" t="n">
        <v>54235.3581</v>
      </c>
    </row>
    <row r="30" customFormat="false" ht="12.8" hidden="false" customHeight="false" outlineLevel="0" collapsed="false">
      <c r="A30" s="0" t="s">
        <v>20</v>
      </c>
      <c r="B30" s="0" t="s">
        <v>21</v>
      </c>
      <c r="C30" s="1" t="s">
        <v>11</v>
      </c>
      <c r="D30" s="2" t="n">
        <v>3</v>
      </c>
      <c r="E30" s="2" t="n">
        <v>2022</v>
      </c>
      <c r="F30" s="2" t="n">
        <v>202</v>
      </c>
      <c r="G30" s="3" t="n">
        <v>245399.700000001</v>
      </c>
      <c r="H30" s="3" t="n">
        <v>152540.4616</v>
      </c>
      <c r="I30" s="3" t="n">
        <v>92859.2384000003</v>
      </c>
    </row>
    <row r="31" customFormat="false" ht="12.8" hidden="false" customHeight="false" outlineLevel="0" collapsed="false">
      <c r="A31" s="0" t="s">
        <v>22</v>
      </c>
      <c r="B31" s="0" t="s">
        <v>21</v>
      </c>
      <c r="C31" s="1" t="s">
        <v>11</v>
      </c>
      <c r="D31" s="2" t="n">
        <v>3</v>
      </c>
      <c r="E31" s="2" t="n">
        <v>2022</v>
      </c>
      <c r="F31" s="2" t="n">
        <v>404</v>
      </c>
      <c r="G31" s="3" t="n">
        <v>963164.279999992</v>
      </c>
      <c r="H31" s="3" t="n">
        <v>598702.911600004</v>
      </c>
      <c r="I31" s="3" t="n">
        <v>364461.368399997</v>
      </c>
    </row>
    <row r="32" customFormat="false" ht="12.8" hidden="false" customHeight="false" outlineLevel="0" collapsed="false">
      <c r="A32" s="0" t="s">
        <v>15</v>
      </c>
      <c r="B32" s="0" t="s">
        <v>14</v>
      </c>
      <c r="C32" s="1" t="s">
        <v>16</v>
      </c>
      <c r="D32" s="2" t="n">
        <v>2</v>
      </c>
      <c r="E32" s="2" t="n">
        <v>2022</v>
      </c>
      <c r="F32" s="2" t="n">
        <v>601</v>
      </c>
      <c r="G32" s="3" t="n">
        <v>601262.9375</v>
      </c>
      <c r="H32" s="3" t="n">
        <v>363995.169200001</v>
      </c>
      <c r="I32" s="3" t="n">
        <v>237267.768299996</v>
      </c>
    </row>
    <row r="33" customFormat="false" ht="12.8" hidden="false" customHeight="false" outlineLevel="0" collapsed="false">
      <c r="A33" s="0" t="s">
        <v>28</v>
      </c>
      <c r="B33" s="0" t="s">
        <v>14</v>
      </c>
      <c r="C33" s="1" t="s">
        <v>16</v>
      </c>
      <c r="D33" s="2" t="n">
        <v>2</v>
      </c>
      <c r="E33" s="2" t="n">
        <v>2022</v>
      </c>
      <c r="F33" s="2" t="n">
        <v>600</v>
      </c>
      <c r="G33" s="3" t="n">
        <v>1020594</v>
      </c>
      <c r="H33" s="3" t="n">
        <v>649506.000000004</v>
      </c>
      <c r="I33" s="3" t="n">
        <v>371087.999999999</v>
      </c>
    </row>
    <row r="34" customFormat="false" ht="12.8" hidden="false" customHeight="false" outlineLevel="0" collapsed="false">
      <c r="A34" s="0" t="s">
        <v>29</v>
      </c>
      <c r="B34" s="0" t="s">
        <v>27</v>
      </c>
      <c r="C34" s="1" t="n">
        <v>0</v>
      </c>
      <c r="D34" s="2" t="n">
        <v>26</v>
      </c>
      <c r="E34" s="2" t="n">
        <v>2022</v>
      </c>
      <c r="F34" s="2" t="n">
        <v>167</v>
      </c>
      <c r="G34" s="3" t="n">
        <v>20040</v>
      </c>
      <c r="H34" s="3" t="n">
        <v>7494.96000000002</v>
      </c>
      <c r="I34" s="3" t="n">
        <v>12545.04</v>
      </c>
    </row>
    <row r="35" customFormat="false" ht="12.8" hidden="false" customHeight="false" outlineLevel="0" collapsed="false">
      <c r="A35" s="0" t="s">
        <v>13</v>
      </c>
      <c r="B35" s="0" t="s">
        <v>21</v>
      </c>
      <c r="C35" s="1" t="s">
        <v>11</v>
      </c>
      <c r="D35" s="2" t="n">
        <v>3</v>
      </c>
      <c r="E35" s="2" t="n">
        <v>2022</v>
      </c>
      <c r="F35" s="2" t="n">
        <v>161</v>
      </c>
      <c r="G35" s="3" t="n">
        <v>119518.35</v>
      </c>
      <c r="H35" s="3" t="n">
        <v>74292.6127999998</v>
      </c>
      <c r="I35" s="3" t="n">
        <v>45225.7372000001</v>
      </c>
    </row>
    <row r="36" customFormat="false" ht="12.8" hidden="false" customHeight="false" outlineLevel="0" collapsed="false">
      <c r="A36" s="0" t="s">
        <v>25</v>
      </c>
      <c r="B36" s="0" t="s">
        <v>10</v>
      </c>
      <c r="C36" s="1" t="s">
        <v>11</v>
      </c>
      <c r="D36" s="2" t="n">
        <v>1</v>
      </c>
      <c r="E36" s="2" t="n">
        <v>2022</v>
      </c>
      <c r="F36" s="2" t="n">
        <v>149</v>
      </c>
      <c r="G36" s="3" t="n">
        <v>80458.5100000001</v>
      </c>
      <c r="H36" s="3" t="n">
        <v>43892.3753</v>
      </c>
      <c r="I36" s="3" t="n">
        <v>36566.1347</v>
      </c>
    </row>
    <row r="37" customFormat="false" ht="12.8" hidden="false" customHeight="false" outlineLevel="0" collapsed="false">
      <c r="A37" s="0" t="s">
        <v>26</v>
      </c>
      <c r="B37" s="0" t="s">
        <v>27</v>
      </c>
      <c r="C37" s="1" t="n">
        <v>0</v>
      </c>
      <c r="D37" s="2" t="n">
        <v>27</v>
      </c>
      <c r="E37" s="2" t="n">
        <v>2022</v>
      </c>
      <c r="F37" s="2" t="n">
        <v>116</v>
      </c>
      <c r="G37" s="3" t="n">
        <v>18444</v>
      </c>
      <c r="H37" s="3" t="n">
        <v>6898.05600000001</v>
      </c>
      <c r="I37" s="3" t="n">
        <v>11545.944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1" activeCellId="0" sqref="M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35"/>
    <col collapsed="false" customWidth="true" hidden="false" outlineLevel="0" max="2" min="2" style="0" width="11.03"/>
    <col collapsed="false" customWidth="true" hidden="false" outlineLevel="0" max="3" min="3" style="0" width="9.51"/>
    <col collapsed="false" customWidth="true" hidden="false" outlineLevel="0" max="4" min="4" style="0" width="13.4"/>
    <col collapsed="false" customWidth="true" hidden="false" outlineLevel="0" max="5" min="5" style="0" width="11.03"/>
    <col collapsed="false" customWidth="true" hidden="false" outlineLevel="0" max="6" min="6" style="0" width="9.51"/>
    <col collapsed="false" customWidth="true" hidden="false" outlineLevel="0" max="7" min="7" style="0" width="13.4"/>
    <col collapsed="false" customWidth="true" hidden="false" outlineLevel="0" max="8" min="8" style="0" width="16.74"/>
    <col collapsed="false" customWidth="true" hidden="false" outlineLevel="0" max="9" min="9" style="0" width="14.79"/>
    <col collapsed="false" customWidth="true" hidden="false" outlineLevel="0" max="10" min="10" style="0" width="18.68"/>
    <col collapsed="false" customWidth="true" hidden="false" outlineLevel="0" max="11" min="11" style="4" width="11.45"/>
  </cols>
  <sheetData>
    <row r="1" customFormat="false" ht="12.8" hidden="false" customHeight="false" outlineLevel="0" collapsed="false">
      <c r="A1" s="5"/>
      <c r="B1" s="6" t="s">
        <v>4</v>
      </c>
      <c r="C1" s="6" t="s">
        <v>30</v>
      </c>
      <c r="D1" s="7"/>
      <c r="E1" s="7"/>
      <c r="F1" s="7"/>
      <c r="G1" s="7"/>
      <c r="H1" s="7"/>
      <c r="I1" s="7"/>
      <c r="J1" s="8"/>
    </row>
    <row r="2" customFormat="false" ht="12.8" hidden="false" customHeight="false" outlineLevel="0" collapsed="false">
      <c r="A2" s="9"/>
      <c r="B2" s="10" t="n">
        <v>2021</v>
      </c>
      <c r="C2" s="11"/>
      <c r="D2" s="11"/>
      <c r="E2" s="11" t="n">
        <v>2022</v>
      </c>
      <c r="F2" s="11"/>
      <c r="G2" s="11"/>
      <c r="H2" s="12" t="s">
        <v>31</v>
      </c>
      <c r="I2" s="12" t="s">
        <v>32</v>
      </c>
      <c r="J2" s="13" t="s">
        <v>33</v>
      </c>
    </row>
    <row r="3" customFormat="false" ht="12.8" hidden="false" customHeight="false" outlineLevel="0" collapsed="false">
      <c r="A3" s="14" t="s">
        <v>0</v>
      </c>
      <c r="B3" s="15" t="s">
        <v>34</v>
      </c>
      <c r="C3" s="16" t="s">
        <v>35</v>
      </c>
      <c r="D3" s="16" t="s">
        <v>36</v>
      </c>
      <c r="E3" s="16" t="s">
        <v>34</v>
      </c>
      <c r="F3" s="16" t="s">
        <v>35</v>
      </c>
      <c r="G3" s="16" t="s">
        <v>36</v>
      </c>
      <c r="H3" s="17"/>
      <c r="I3" s="17"/>
      <c r="J3" s="18"/>
      <c r="K3" s="19" t="s">
        <v>37</v>
      </c>
    </row>
    <row r="4" customFormat="false" ht="12.8" hidden="false" customHeight="false" outlineLevel="0" collapsed="false">
      <c r="A4" s="20" t="s">
        <v>26</v>
      </c>
      <c r="B4" s="21" t="n">
        <v>11745.012</v>
      </c>
      <c r="C4" s="22" t="n">
        <v>118</v>
      </c>
      <c r="D4" s="23" t="n">
        <v>7016.98800000001</v>
      </c>
      <c r="E4" s="24" t="n">
        <v>11545.944</v>
      </c>
      <c r="F4" s="25" t="n">
        <v>116</v>
      </c>
      <c r="G4" s="24" t="n">
        <v>6898.05600000001</v>
      </c>
      <c r="H4" s="26" t="n">
        <v>23290.956</v>
      </c>
      <c r="I4" s="27" t="n">
        <v>234</v>
      </c>
      <c r="J4" s="28" t="n">
        <v>6957.52200000001</v>
      </c>
      <c r="K4" s="29" t="n">
        <f aca="false">IF(OR(ISBLANK(B4), ISBLANK(E4)), 0, B4-E4)</f>
        <v>199.067999999999</v>
      </c>
    </row>
    <row r="5" customFormat="false" ht="12.8" hidden="false" customHeight="false" outlineLevel="0" collapsed="false">
      <c r="A5" s="30" t="s">
        <v>29</v>
      </c>
      <c r="B5" s="31" t="n">
        <v>10141.2</v>
      </c>
      <c r="C5" s="25" t="n">
        <v>135</v>
      </c>
      <c r="D5" s="32" t="n">
        <v>6058.80000000001</v>
      </c>
      <c r="E5" s="24" t="n">
        <v>12545.04</v>
      </c>
      <c r="F5" s="25" t="n">
        <v>167</v>
      </c>
      <c r="G5" s="24" t="n">
        <v>7494.96000000002</v>
      </c>
      <c r="H5" s="33" t="n">
        <v>22686.24</v>
      </c>
      <c r="I5" s="27" t="n">
        <v>302</v>
      </c>
      <c r="J5" s="34" t="n">
        <v>6776.88000000001</v>
      </c>
      <c r="K5" s="35" t="n">
        <f aca="false">IF(OR(ISBLANK(B5), ISBLANK(E5)), 0, B5-E5)</f>
        <v>-2403.84000000003</v>
      </c>
    </row>
    <row r="6" customFormat="false" ht="12.8" hidden="false" customHeight="false" outlineLevel="0" collapsed="false">
      <c r="A6" s="30" t="s">
        <v>12</v>
      </c>
      <c r="B6" s="31" t="n">
        <v>1570398.1387</v>
      </c>
      <c r="C6" s="25" t="n">
        <v>1656</v>
      </c>
      <c r="D6" s="32" t="n">
        <v>920483.246550007</v>
      </c>
      <c r="E6" s="24" t="n">
        <v>1366645.8297</v>
      </c>
      <c r="F6" s="25" t="n">
        <v>1441</v>
      </c>
      <c r="G6" s="24" t="n">
        <v>801054.560150005</v>
      </c>
      <c r="H6" s="33" t="n">
        <v>2937043.96840001</v>
      </c>
      <c r="I6" s="27" t="n">
        <v>3097</v>
      </c>
      <c r="J6" s="34" t="n">
        <v>860768.903350006</v>
      </c>
      <c r="K6" s="35" t="n">
        <f aca="false">IF(OR(ISBLANK(B6), ISBLANK(E6)), 0, B6-E6)</f>
        <v>203752.308999999</v>
      </c>
    </row>
    <row r="7" customFormat="false" ht="12.8" hidden="false" customHeight="false" outlineLevel="0" collapsed="false">
      <c r="A7" s="30" t="s">
        <v>24</v>
      </c>
      <c r="B7" s="31" t="n">
        <v>70991.4548000001</v>
      </c>
      <c r="C7" s="25" t="n">
        <v>203</v>
      </c>
      <c r="D7" s="32" t="n">
        <v>85215.0152</v>
      </c>
      <c r="E7" s="24" t="n">
        <v>115404.827999999</v>
      </c>
      <c r="F7" s="25" t="n">
        <v>330</v>
      </c>
      <c r="G7" s="24" t="n">
        <v>138526.872</v>
      </c>
      <c r="H7" s="33" t="n">
        <v>186396.2828</v>
      </c>
      <c r="I7" s="27" t="n">
        <v>533</v>
      </c>
      <c r="J7" s="34" t="n">
        <v>111870.9436</v>
      </c>
      <c r="K7" s="35" t="n">
        <f aca="false">IF(OR(ISBLANK(B7), ISBLANK(E7)), 0, B7-E7)</f>
        <v>-44413.3731999994</v>
      </c>
    </row>
    <row r="8" customFormat="false" ht="12.8" hidden="false" customHeight="false" outlineLevel="0" collapsed="false">
      <c r="A8" s="30" t="s">
        <v>25</v>
      </c>
      <c r="B8" s="31" t="n">
        <v>48175.4249999999</v>
      </c>
      <c r="C8" s="25" t="n">
        <v>192</v>
      </c>
      <c r="D8" s="32" t="n">
        <v>28913.8275</v>
      </c>
      <c r="E8" s="24" t="n">
        <v>70460.0518999999</v>
      </c>
      <c r="F8" s="25" t="n">
        <v>281</v>
      </c>
      <c r="G8" s="24" t="n">
        <v>42288.56905</v>
      </c>
      <c r="H8" s="33" t="n">
        <v>118635.4769</v>
      </c>
      <c r="I8" s="27" t="n">
        <v>473</v>
      </c>
      <c r="J8" s="34" t="n">
        <v>35601.198275</v>
      </c>
      <c r="K8" s="35" t="n">
        <f aca="false">IF(OR(ISBLANK(B8), ISBLANK(E8)), 0, B8-E8)</f>
        <v>-22284.6269</v>
      </c>
    </row>
    <row r="9" customFormat="false" ht="12.8" hidden="false" customHeight="false" outlineLevel="0" collapsed="false">
      <c r="A9" s="30" t="s">
        <v>9</v>
      </c>
      <c r="B9" s="31" t="n">
        <v>782522.8826</v>
      </c>
      <c r="C9" s="25" t="n">
        <v>895</v>
      </c>
      <c r="D9" s="32" t="n">
        <v>609726.6962</v>
      </c>
      <c r="E9" s="24" t="n">
        <v>255680.9739</v>
      </c>
      <c r="F9" s="25" t="n">
        <v>297</v>
      </c>
      <c r="G9" s="24" t="n">
        <v>196121.5443</v>
      </c>
      <c r="H9" s="33" t="n">
        <v>1038203.8565</v>
      </c>
      <c r="I9" s="27" t="n">
        <v>1192</v>
      </c>
      <c r="J9" s="34" t="n">
        <v>402924.12025</v>
      </c>
      <c r="K9" s="35" t="n">
        <f aca="false">IF(OR(ISBLANK(B9), ISBLANK(E9)), 0, B9-E9)</f>
        <v>526841.9087</v>
      </c>
    </row>
    <row r="10" customFormat="false" ht="12.8" hidden="false" customHeight="false" outlineLevel="0" collapsed="false">
      <c r="A10" s="30" t="s">
        <v>28</v>
      </c>
      <c r="B10" s="31" t="n">
        <v>192347.280000001</v>
      </c>
      <c r="C10" s="25" t="n">
        <v>311</v>
      </c>
      <c r="D10" s="32" t="n">
        <v>336660.610000001</v>
      </c>
      <c r="E10" s="24" t="n">
        <v>371087.999999999</v>
      </c>
      <c r="F10" s="25" t="n">
        <v>600</v>
      </c>
      <c r="G10" s="24" t="n">
        <v>649506.000000004</v>
      </c>
      <c r="H10" s="33" t="n">
        <v>563435.279999999</v>
      </c>
      <c r="I10" s="27" t="n">
        <v>911</v>
      </c>
      <c r="J10" s="34" t="n">
        <v>493083.305000003</v>
      </c>
      <c r="K10" s="35" t="n">
        <f aca="false">IF(OR(ISBLANK(B10), ISBLANK(E10)), 0, B10-E10)</f>
        <v>-178740.719999998</v>
      </c>
    </row>
    <row r="11" customFormat="false" ht="12.8" hidden="false" customHeight="false" outlineLevel="0" collapsed="false">
      <c r="A11" s="30" t="s">
        <v>15</v>
      </c>
      <c r="B11" s="31" t="n">
        <v>242005.227899996</v>
      </c>
      <c r="C11" s="25" t="n">
        <v>613</v>
      </c>
      <c r="D11" s="32" t="n">
        <v>371262.9596</v>
      </c>
      <c r="E11" s="24" t="n">
        <v>237267.768299996</v>
      </c>
      <c r="F11" s="25" t="n">
        <v>601</v>
      </c>
      <c r="G11" s="24" t="n">
        <v>363995.169200001</v>
      </c>
      <c r="H11" s="33" t="n">
        <v>479272.996199992</v>
      </c>
      <c r="I11" s="27" t="n">
        <v>1214</v>
      </c>
      <c r="J11" s="34" t="n">
        <v>367629.064400001</v>
      </c>
      <c r="K11" s="35" t="n">
        <f aca="false">IF(OR(ISBLANK(B11), ISBLANK(E11)), 0, B11-E11)</f>
        <v>4737.45959999983</v>
      </c>
    </row>
    <row r="12" customFormat="false" ht="12.8" hidden="false" customHeight="false" outlineLevel="0" collapsed="false">
      <c r="A12" s="30" t="s">
        <v>23</v>
      </c>
      <c r="B12" s="31" t="n">
        <v>95221.9827</v>
      </c>
      <c r="C12" s="25" t="n">
        <v>333</v>
      </c>
      <c r="D12" s="32" t="n">
        <v>68788.85895</v>
      </c>
      <c r="E12" s="36"/>
      <c r="F12" s="36"/>
      <c r="G12" s="36"/>
      <c r="H12" s="33" t="n">
        <v>95221.9827</v>
      </c>
      <c r="I12" s="27" t="n">
        <v>333</v>
      </c>
      <c r="J12" s="34" t="n">
        <v>68788.85895</v>
      </c>
      <c r="K12" s="35" t="n">
        <f aca="false">IF(OR(ISBLANK(B12), ISBLANK(E12)), 0, B12-E12)</f>
        <v>0</v>
      </c>
    </row>
    <row r="13" customFormat="false" ht="12.8" hidden="false" customHeight="false" outlineLevel="0" collapsed="false">
      <c r="A13" s="30" t="s">
        <v>19</v>
      </c>
      <c r="B13" s="31" t="n">
        <v>117018.8784</v>
      </c>
      <c r="C13" s="25" t="n">
        <v>596</v>
      </c>
      <c r="D13" s="32" t="n">
        <v>204815.161600001</v>
      </c>
      <c r="E13" s="24" t="n">
        <v>162177.170399998</v>
      </c>
      <c r="F13" s="25" t="n">
        <v>826</v>
      </c>
      <c r="G13" s="24" t="n">
        <v>283854.569600002</v>
      </c>
      <c r="H13" s="33" t="n">
        <v>279196.048799999</v>
      </c>
      <c r="I13" s="27" t="n">
        <v>1422</v>
      </c>
      <c r="J13" s="34" t="n">
        <v>244334.865600002</v>
      </c>
      <c r="K13" s="35" t="n">
        <f aca="false">IF(OR(ISBLANK(B13), ISBLANK(E13)), 0, B13-E13)</f>
        <v>-45158.2919999979</v>
      </c>
    </row>
    <row r="14" customFormat="false" ht="12.8" hidden="false" customHeight="false" outlineLevel="0" collapsed="false">
      <c r="A14" s="30" t="s">
        <v>22</v>
      </c>
      <c r="B14" s="31" t="n">
        <v>395133.859799999</v>
      </c>
      <c r="C14" s="25" t="n">
        <v>438</v>
      </c>
      <c r="D14" s="32" t="n">
        <v>324544.4001</v>
      </c>
      <c r="E14" s="24" t="n">
        <v>717195.019499995</v>
      </c>
      <c r="F14" s="25" t="n">
        <v>795</v>
      </c>
      <c r="G14" s="24" t="n">
        <v>589070.315250004</v>
      </c>
      <c r="H14" s="33" t="n">
        <v>1112328.87929999</v>
      </c>
      <c r="I14" s="27" t="n">
        <v>1233</v>
      </c>
      <c r="J14" s="34" t="n">
        <v>456807.357675002</v>
      </c>
      <c r="K14" s="35" t="n">
        <f aca="false">IF(OR(ISBLANK(B14), ISBLANK(E14)), 0, B14-E14)</f>
        <v>-322061.159699996</v>
      </c>
    </row>
    <row r="15" customFormat="false" ht="12.8" hidden="false" customHeight="false" outlineLevel="0" collapsed="false">
      <c r="A15" s="30" t="s">
        <v>20</v>
      </c>
      <c r="B15" s="31" t="n">
        <v>73092.1728000002</v>
      </c>
      <c r="C15" s="25" t="n">
        <v>159</v>
      </c>
      <c r="D15" s="32" t="n">
        <v>120068.9772</v>
      </c>
      <c r="E15" s="24" t="n">
        <v>92859.2384000003</v>
      </c>
      <c r="F15" s="25" t="n">
        <v>202</v>
      </c>
      <c r="G15" s="24" t="n">
        <v>152540.4616</v>
      </c>
      <c r="H15" s="33" t="n">
        <v>165951.411200001</v>
      </c>
      <c r="I15" s="27" t="n">
        <v>361</v>
      </c>
      <c r="J15" s="34" t="n">
        <v>136304.7194</v>
      </c>
      <c r="K15" s="35" t="n">
        <f aca="false">IF(OR(ISBLANK(B15), ISBLANK(E15)), 0, B15-E15)</f>
        <v>-19767.0656000001</v>
      </c>
    </row>
    <row r="16" customFormat="false" ht="12.8" hidden="false" customHeight="false" outlineLevel="0" collapsed="false">
      <c r="A16" s="30" t="s">
        <v>13</v>
      </c>
      <c r="B16" s="37" t="n">
        <v>60113.7128000001</v>
      </c>
      <c r="C16" s="38" t="n">
        <v>214</v>
      </c>
      <c r="D16" s="39" t="n">
        <v>49374.5935999999</v>
      </c>
      <c r="E16" s="24" t="n">
        <v>88766.0432000002</v>
      </c>
      <c r="F16" s="25" t="n">
        <v>316</v>
      </c>
      <c r="G16" s="24" t="n">
        <v>72908.2783999998</v>
      </c>
      <c r="H16" s="40" t="n">
        <v>148879.756</v>
      </c>
      <c r="I16" s="27" t="n">
        <v>530</v>
      </c>
      <c r="J16" s="41" t="n">
        <v>61141.4359999999</v>
      </c>
      <c r="K16" s="42" t="n">
        <f aca="false">IF(OR(ISBLANK(B16), ISBLANK(E16)), 0, B16-E16)</f>
        <v>-28652.3304000001</v>
      </c>
    </row>
    <row r="17" customFormat="false" ht="12.8" hidden="false" customHeight="false" outlineLevel="0" collapsed="false">
      <c r="A17" s="43" t="s">
        <v>38</v>
      </c>
      <c r="B17" s="44" t="n">
        <v>3668907.2275</v>
      </c>
      <c r="C17" s="45" t="n">
        <v>5863</v>
      </c>
      <c r="D17" s="46" t="n">
        <v>270250.618810527</v>
      </c>
      <c r="E17" s="44" t="n">
        <v>3501635.90729999</v>
      </c>
      <c r="F17" s="45" t="n">
        <v>5972</v>
      </c>
      <c r="G17" s="46" t="n">
        <v>294453.095452943</v>
      </c>
      <c r="H17" s="47" t="n">
        <v>7170543.13479999</v>
      </c>
      <c r="I17" s="48" t="n">
        <v>11835</v>
      </c>
      <c r="J17" s="49" t="n">
        <v>281679.56611389</v>
      </c>
      <c r="K17" s="19" t="n">
        <f aca="false">IF(OR(ISBLANK(B17), ISBLANK(E17)), 0, B17-E17)</f>
        <v>167271.320200007</v>
      </c>
    </row>
    <row r="18" customFormat="false" ht="12.8" hidden="false" customHeight="false" outlineLevel="0" collapsed="false">
      <c r="E18" s="50"/>
      <c r="F18" s="50"/>
      <c r="G18" s="50"/>
      <c r="H18" s="50"/>
      <c r="I18" s="50"/>
      <c r="J18" s="50"/>
    </row>
    <row r="19" customFormat="false" ht="12.8" hidden="false" customHeight="false" outlineLevel="0" collapsed="false">
      <c r="E19" s="50"/>
      <c r="F19" s="50"/>
      <c r="G19" s="50"/>
      <c r="H19" s="50"/>
      <c r="I19" s="50"/>
      <c r="J19" s="50"/>
    </row>
    <row r="20" customFormat="false" ht="12.8" hidden="false" customHeight="false" outlineLevel="0" collapsed="false">
      <c r="E20" s="50"/>
      <c r="F20" s="50"/>
      <c r="G20" s="50"/>
      <c r="H20" s="50"/>
      <c r="I20" s="50"/>
      <c r="J20" s="50"/>
    </row>
    <row r="21" customFormat="false" ht="12.8" hidden="false" customHeight="false" outlineLevel="0" collapsed="false">
      <c r="E21" s="50"/>
      <c r="F21" s="50"/>
      <c r="G21" s="50"/>
      <c r="H21" s="50"/>
      <c r="I21" s="50"/>
      <c r="J21" s="50"/>
    </row>
    <row r="22" customFormat="false" ht="12.8" hidden="false" customHeight="false" outlineLevel="0" collapsed="false">
      <c r="E22" s="50"/>
      <c r="F22" s="50"/>
      <c r="G22" s="50"/>
      <c r="H22" s="50"/>
      <c r="I22" s="50"/>
      <c r="J22" s="50"/>
    </row>
    <row r="23" customFormat="false" ht="12.8" hidden="false" customHeight="false" outlineLevel="0" collapsed="false">
      <c r="E23" s="50"/>
      <c r="F23" s="50"/>
      <c r="G23" s="50"/>
      <c r="H23" s="50"/>
      <c r="I23" s="50"/>
      <c r="J23" s="50"/>
    </row>
    <row r="24" customFormat="false" ht="12.8" hidden="false" customHeight="false" outlineLevel="0" collapsed="false">
      <c r="E24" s="50"/>
      <c r="F24" s="50"/>
      <c r="G24" s="50"/>
      <c r="H24" s="50"/>
      <c r="I24" s="50"/>
      <c r="J24" s="50"/>
    </row>
    <row r="25" customFormat="false" ht="12.8" hidden="false" customHeight="false" outlineLevel="0" collapsed="false">
      <c r="E25" s="50"/>
      <c r="F25" s="50"/>
      <c r="G25" s="50"/>
      <c r="H25" s="50"/>
      <c r="I25" s="50"/>
      <c r="J25" s="50"/>
    </row>
    <row r="26" customFormat="false" ht="12.8" hidden="false" customHeight="false" outlineLevel="0" collapsed="false">
      <c r="E26" s="50"/>
      <c r="F26" s="50"/>
      <c r="G26" s="50"/>
      <c r="H26" s="50"/>
      <c r="I26" s="50"/>
      <c r="J26" s="50"/>
    </row>
    <row r="27" customFormat="false" ht="12.8" hidden="false" customHeight="false" outlineLevel="0" collapsed="false">
      <c r="E27" s="50"/>
      <c r="F27" s="50"/>
      <c r="G27" s="50"/>
      <c r="H27" s="50"/>
      <c r="I27" s="50"/>
      <c r="J27" s="50"/>
    </row>
    <row r="28" customFormat="false" ht="12.8" hidden="false" customHeight="false" outlineLevel="0" collapsed="false">
      <c r="E28" s="50"/>
      <c r="F28" s="50"/>
      <c r="G28" s="50"/>
      <c r="H28" s="50"/>
      <c r="I28" s="50"/>
      <c r="J28" s="50"/>
    </row>
    <row r="29" customFormat="false" ht="12.8" hidden="false" customHeight="false" outlineLevel="0" collapsed="false">
      <c r="E29" s="50"/>
      <c r="F29" s="50"/>
      <c r="G29" s="50"/>
      <c r="H29" s="50"/>
      <c r="I29" s="50"/>
      <c r="J29" s="50"/>
    </row>
    <row r="30" customFormat="false" ht="12.8" hidden="false" customHeight="false" outlineLevel="0" collapsed="false">
      <c r="E30" s="50"/>
      <c r="F30" s="50"/>
      <c r="G30" s="50"/>
      <c r="H30" s="50"/>
      <c r="I30" s="50"/>
      <c r="J30" s="50"/>
    </row>
    <row r="31" customFormat="false" ht="12.8" hidden="false" customHeight="false" outlineLevel="0" collapsed="false">
      <c r="E31" s="50"/>
      <c r="F31" s="50"/>
      <c r="G31" s="50"/>
      <c r="H31" s="50"/>
      <c r="I31" s="50"/>
      <c r="J31" s="50"/>
    </row>
    <row r="32" customFormat="false" ht="12.8" hidden="false" customHeight="false" outlineLevel="0" collapsed="false">
      <c r="E32" s="50"/>
      <c r="F32" s="50"/>
      <c r="G32" s="50"/>
      <c r="H32" s="50"/>
      <c r="I32" s="50"/>
      <c r="J32" s="50"/>
    </row>
    <row r="33" customFormat="false" ht="12.8" hidden="false" customHeight="false" outlineLevel="0" collapsed="false">
      <c r="E33" s="50"/>
      <c r="F33" s="50"/>
      <c r="G33" s="50"/>
      <c r="H33" s="50"/>
      <c r="I33" s="50"/>
      <c r="J33" s="50"/>
    </row>
    <row r="34" customFormat="false" ht="12.8" hidden="false" customHeight="false" outlineLevel="0" collapsed="false">
      <c r="E34" s="50"/>
      <c r="F34" s="50"/>
      <c r="G34" s="50"/>
      <c r="H34" s="50"/>
      <c r="I34" s="50"/>
      <c r="J34" s="50"/>
    </row>
    <row r="35" customFormat="false" ht="12.8" hidden="false" customHeight="false" outlineLevel="0" collapsed="false">
      <c r="E35" s="50"/>
      <c r="F35" s="50"/>
      <c r="G35" s="50"/>
      <c r="H35" s="50"/>
      <c r="I35" s="50"/>
      <c r="J35" s="50"/>
    </row>
    <row r="36" customFormat="false" ht="12.8" hidden="false" customHeight="false" outlineLevel="0" collapsed="false">
      <c r="E36" s="50"/>
      <c r="F36" s="50"/>
      <c r="G36" s="50"/>
      <c r="H36" s="50"/>
      <c r="I36" s="50"/>
      <c r="J36" s="50"/>
    </row>
    <row r="37" customFormat="false" ht="12.8" hidden="false" customHeight="false" outlineLevel="0" collapsed="false">
      <c r="E37" s="50"/>
      <c r="F37" s="50"/>
      <c r="G37" s="50"/>
      <c r="H37" s="50"/>
      <c r="I37" s="50"/>
      <c r="J37" s="50"/>
    </row>
  </sheetData>
  <mergeCells count="1">
    <mergeCell ref="E18:J37"/>
  </mergeCells>
  <conditionalFormatting sqref="K1:K1048576">
    <cfRule type="cellIs" priority="2" operator="lessThan" aboveAverage="0" equalAverage="0" bottom="0" percent="0" rank="0" text="" dxfId="1">
      <formula>-10000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86"/>
    <col collapsed="false" customWidth="true" hidden="false" outlineLevel="0" max="2" min="2" style="0" width="17.99"/>
    <col collapsed="false" customWidth="true" hidden="false" outlineLevel="0" max="3" min="3" style="0" width="25.92"/>
  </cols>
  <sheetData>
    <row r="1" customFormat="false" ht="13.8" hidden="false" customHeight="false" outlineLevel="0" collapsed="false">
      <c r="A1" s="51" t="s">
        <v>39</v>
      </c>
      <c r="B1" s="51" t="s">
        <v>40</v>
      </c>
      <c r="C1" s="51" t="s">
        <v>41</v>
      </c>
    </row>
    <row r="2" customFormat="false" ht="13.8" hidden="false" customHeight="false" outlineLevel="0" collapsed="false">
      <c r="A2" s="52" t="s">
        <v>42</v>
      </c>
      <c r="B2" s="52" t="n">
        <v>1.692</v>
      </c>
      <c r="C2" s="53" t="s">
        <v>43</v>
      </c>
    </row>
    <row r="3" customFormat="false" ht="13.8" hidden="false" customHeight="false" outlineLevel="0" collapsed="false">
      <c r="A3" s="54" t="s">
        <v>44</v>
      </c>
      <c r="B3" s="54" t="n">
        <v>253</v>
      </c>
      <c r="C3" s="55" t="s">
        <v>45</v>
      </c>
    </row>
    <row r="4" customFormat="false" ht="13.8" hidden="false" customHeight="false" outlineLevel="0" collapsed="false">
      <c r="A4" s="56" t="s">
        <v>46</v>
      </c>
      <c r="B4" s="56" t="s">
        <v>47</v>
      </c>
      <c r="C4" s="57" t="s">
        <v>48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2026-05-22T09:55:21Z</dcterms:modified>
  <cp:revision>2</cp:revision>
  <dc:subject/>
  <dc:title/>
</cp:coreProperties>
</file>